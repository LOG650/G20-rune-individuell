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e25ac4905db4876/Documents/Skole utdanning/Logistikk studie/LOG650 LOGISTIKK OG KI/"/>
    </mc:Choice>
  </mc:AlternateContent>
  <xr:revisionPtr revIDLastSave="0" documentId="8_{E9BF76D3-2BE8-43D3-BADE-ABD1A6A255A3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Gantt Import" sheetId="1" r:id="rId1"/>
    <sheet name="Milepæler" sheetId="2" r:id="rId2"/>
    <sheet name="LLI Tracker" sheetId="3" r:id="rId3"/>
    <sheet name="Import instruksjon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 s="1"/>
</calcChain>
</file>

<file path=xl/sharedStrings.xml><?xml version="1.0" encoding="utf-8"?>
<sst xmlns="http://schemas.openxmlformats.org/spreadsheetml/2006/main" count="373" uniqueCount="259">
  <si>
    <t>ID</t>
  </si>
  <si>
    <t>Outline Level</t>
  </si>
  <si>
    <t>Name</t>
  </si>
  <si>
    <t>Duration</t>
  </si>
  <si>
    <t>Start</t>
  </si>
  <si>
    <t>Finish</t>
  </si>
  <si>
    <t>Predecessors</t>
  </si>
  <si>
    <t>Resource Names</t>
  </si>
  <si>
    <t>Notes</t>
  </si>
  <si>
    <t>% Complete</t>
  </si>
  <si>
    <t>Number1</t>
  </si>
  <si>
    <t>FASE 1 — Initiering</t>
  </si>
  <si>
    <t>4w</t>
  </si>
  <si>
    <t>2026-01-12</t>
  </si>
  <si>
    <t>2026-02-23</t>
  </si>
  <si>
    <t>Formulere problemstilling og mål</t>
  </si>
  <si>
    <t>5d</t>
  </si>
  <si>
    <t>2026-01-16</t>
  </si>
  <si>
    <t>Rune Grødem</t>
  </si>
  <si>
    <t>Kobling til pensum: stokastisk lagerstyring</t>
  </si>
  <si>
    <t>Skrive proposal</t>
  </si>
  <si>
    <t>2026-01-19</t>
  </si>
  <si>
    <t>2026-01-23</t>
  </si>
  <si>
    <t>2</t>
  </si>
  <si>
    <t>Peer review av proposal-utkast</t>
  </si>
  <si>
    <t>3d</t>
  </si>
  <si>
    <t>2026-01-26</t>
  </si>
  <si>
    <t>2026-01-28</t>
  </si>
  <si>
    <t>3</t>
  </si>
  <si>
    <t>Revisjon etter tilbakemelding</t>
  </si>
  <si>
    <t>2026-01-29</t>
  </si>
  <si>
    <t>2026-02-02</t>
  </si>
  <si>
    <t>4</t>
  </si>
  <si>
    <t>M1 ★ Godkjent proposal</t>
  </si>
  <si>
    <t>0d</t>
  </si>
  <si>
    <t>5</t>
  </si>
  <si>
    <t>Frist: 23. feb 2026 | Krav: C-nivå</t>
  </si>
  <si>
    <t>FASE 2 — Planlegging</t>
  </si>
  <si>
    <t>3w</t>
  </si>
  <si>
    <t>2026-02-11</t>
  </si>
  <si>
    <t>2026-03-09</t>
  </si>
  <si>
    <t>Frist: 9. mars 2026</t>
  </si>
  <si>
    <t>Oppdatere problemstilling og avgrensninger</t>
  </si>
  <si>
    <t>2026-02-13</t>
  </si>
  <si>
    <t>L1 — justere fra proposal til prosjektplan</t>
  </si>
  <si>
    <t>Modellkandidat-analyse fra pensum</t>
  </si>
  <si>
    <t>4d</t>
  </si>
  <si>
    <t>2026-02-16</t>
  </si>
  <si>
    <t>2026-02-19</t>
  </si>
  <si>
    <t>8</t>
  </si>
  <si>
    <t>L2 — (Q,R), køteori, Monte Carlo. Ref: 030222-kompendiet</t>
  </si>
  <si>
    <t>L3 — Litteratursøk: planlegging (søkeord, databaser, avgrensning)</t>
  </si>
  <si>
    <t>2d</t>
  </si>
  <si>
    <t>2026-02-20</t>
  </si>
  <si>
    <t>2026-02-25</t>
  </si>
  <si>
    <t>Identifiser søkedatabaser (Google Scholar, Scopus), nøkkelord, avgrensning. Selve søket gjennomføres i fase 3.</t>
  </si>
  <si>
    <t>L4 — Case-kartlegging: planlegging (kontakter, intervjuguide, datatilgang)</t>
  </si>
  <si>
    <t>2026-02-24</t>
  </si>
  <si>
    <t>Identifiser kontaktpersoner (logistikk, S01), lag intervjuguide, avtal tilgang til BRIS-data. Intervjuer og dokumentasjon i fase 3.</t>
  </si>
  <si>
    <t>Dataplan</t>
  </si>
  <si>
    <t>2026-02-26</t>
  </si>
  <si>
    <t>11</t>
  </si>
  <si>
    <t>L5 — BRIS, telleliste, vaskekapasitet, rådatahåndtering</t>
  </si>
  <si>
    <t>Skrive prosjektplan (dette dokumentet)</t>
  </si>
  <si>
    <t>L6 — Word/MD + alle 8 seksjoner</t>
  </si>
  <si>
    <t>Bygge Gantt i MS Project + sette baseline</t>
  </si>
  <si>
    <t>2026-03-05</t>
  </si>
  <si>
    <t>2026-03-06</t>
  </si>
  <si>
    <t>L7 — kritisk sti, referanseplan. Tilgang via IT HiMolde</t>
  </si>
  <si>
    <t>M2 ★ Rapportskjelett påbegynt + innledning v1</t>
  </si>
  <si>
    <t>13,14</t>
  </si>
  <si>
    <t>Frist: innen 9. mars | Krav: C-nivå | Innledning og problemstilling v1 er tilstrekkelig</t>
  </si>
  <si>
    <t>M3 ★ Godkjent prosjektplan + Gantt</t>
  </si>
  <si>
    <t>15</t>
  </si>
  <si>
    <t>HARD FRIST: 9. mars 2026 | Krav: C-nivå</t>
  </si>
  <si>
    <t>FASE 3 — Gjennomføring</t>
  </si>
  <si>
    <t>7w</t>
  </si>
  <si>
    <t>2026-04-27</t>
  </si>
  <si>
    <t>Rapport + kode. Dobbelt så lang som fase 1 og 2.</t>
  </si>
  <si>
    <t>L8 — Innledning og problemstilling v1</t>
  </si>
  <si>
    <t>2026-03-11</t>
  </si>
  <si>
    <t>16</t>
  </si>
  <si>
    <t>Tidlig skriving — itereres gjennom hele fase 3</t>
  </si>
  <si>
    <t>L9 — Datainnsamling + case-kartlegging (intervjuer, BRIS, vaskekapasitet)</t>
  </si>
  <si>
    <t>8d</t>
  </si>
  <si>
    <t>2026-03-18</t>
  </si>
  <si>
    <t>Gjennomfør intervjuer (S01, logistikk), hent BRIS-eksport, dokumenter prosessflyt og pool-struktur. Bygger på planlegging fra L4 (ID 11).</t>
  </si>
  <si>
    <t>L10 — Etterspørselsanalyse</t>
  </si>
  <si>
    <t>2026-03-19</t>
  </si>
  <si>
    <t>2026-03-25</t>
  </si>
  <si>
    <t>19</t>
  </si>
  <si>
    <t>Distribusjon, sesongmønster, Poisson-test, stasjonsnettverk</t>
  </si>
  <si>
    <t>L11 — Modellvalg og begrunnelse</t>
  </si>
  <si>
    <t>2026-03-24</t>
  </si>
  <si>
    <t>20</t>
  </si>
  <si>
    <t>Begrunnet beslutning fra pensum — IKKE full implementasjon ennå</t>
  </si>
  <si>
    <t>L12 — Litteratursøk gjennomføring + teorikapittel</t>
  </si>
  <si>
    <t>6d</t>
  </si>
  <si>
    <t>2026-03-31</t>
  </si>
  <si>
    <t>21</t>
  </si>
  <si>
    <t>Gjennomfør litteratursøk (bygger på planlegging fase 2). Skriv teorikapittel: stokastisk lagerstyring, evt. køteori. Ref: 030222 + Nahmias.</t>
  </si>
  <si>
    <t>L13 — Python-implementasjon (KI-støttet)</t>
  </si>
  <si>
    <t>10d</t>
  </si>
  <si>
    <t>2026-04-01</t>
  </si>
  <si>
    <t>2026-04-10</t>
  </si>
  <si>
    <t>Modell + simulering. Kode til GitHub.</t>
  </si>
  <si>
    <t>L14 — Validering og sensitivitetsanalyse</t>
  </si>
  <si>
    <t>2026-04-13</t>
  </si>
  <si>
    <t>2026-04-16</t>
  </si>
  <si>
    <t>23</t>
  </si>
  <si>
    <t>Rimelighetssjekk, robusthet, parametervariasjoner</t>
  </si>
  <si>
    <t>L15 — Resultater og diskusjon v1</t>
  </si>
  <si>
    <t>2026-04-14</t>
  </si>
  <si>
    <t>2026-04-17</t>
  </si>
  <si>
    <t>22,24</t>
  </si>
  <si>
    <t>Sammenstilling av hovedutkast</t>
  </si>
  <si>
    <t>2026-04-20</t>
  </si>
  <si>
    <t>2026-04-22</t>
  </si>
  <si>
    <t>18,22,25</t>
  </si>
  <si>
    <t>Alle kapitler settes sammen til sammenhengende utkast</t>
  </si>
  <si>
    <t>L16 — Peer review: motta, lese og skrive skriftlig tilbakemelding</t>
  </si>
  <si>
    <t>2026-04-21</t>
  </si>
  <si>
    <t>26</t>
  </si>
  <si>
    <t>Tilordnet av emneansvarlig. Taushetserklæring undertegnes.</t>
  </si>
  <si>
    <t>[SLETTET — slått sammen med ID 27]</t>
  </si>
  <si>
    <t>2026-04-24</t>
  </si>
  <si>
    <t>27</t>
  </si>
  <si>
    <t>Skriftlig vurdering av annen gruppes rapport</t>
  </si>
  <si>
    <t>Innarbeide tilbakemelding på eget utkast</t>
  </si>
  <si>
    <t>28</t>
  </si>
  <si>
    <t>M4 ★ Godkjent hovedutkast + peer review</t>
  </si>
  <si>
    <t>29</t>
  </si>
  <si>
    <t>Frist: slutten av april 2026 | Krav: C-nivå</t>
  </si>
  <si>
    <t>FASE 4 — Avslutning</t>
  </si>
  <si>
    <t>5w</t>
  </si>
  <si>
    <t>2026-06-05</t>
  </si>
  <si>
    <t>Revisjon basert på peer review og egenvurdering</t>
  </si>
  <si>
    <t>2026-05-01</t>
  </si>
  <si>
    <t>30</t>
  </si>
  <si>
    <t>Ferdigstille alle rapportkapitler</t>
  </si>
  <si>
    <t>2026-05-04</t>
  </si>
  <si>
    <t>2026-05-13</t>
  </si>
  <si>
    <t>32</t>
  </si>
  <si>
    <t>Inkl. abstract, konklusjon, referanseliste (APA 7th norsk)</t>
  </si>
  <si>
    <t>Oppdatere og ferdigstille GitHub-repo</t>
  </si>
  <si>
    <t>2026-05-14</t>
  </si>
  <si>
    <t>2026-05-15</t>
  </si>
  <si>
    <t>33</t>
  </si>
  <si>
    <t>Kode, README, notebooks</t>
  </si>
  <si>
    <t>Korrektur og sluttsjekk</t>
  </si>
  <si>
    <t>2026-05-18</t>
  </si>
  <si>
    <t>2026-05-20</t>
  </si>
  <si>
    <t>33,34</t>
  </si>
  <si>
    <t>Sjekk kildebruk, figurer, tabeller, layout</t>
  </si>
  <si>
    <t>Oppdatere Gantt med faktisk fremdrift (re-innlevering)</t>
  </si>
  <si>
    <t>1d</t>
  </si>
  <si>
    <t>Avvik plan vs. virkelighet skal være synlig for sensor</t>
  </si>
  <si>
    <t>L17 — Innlevering av ferdigstilt rapport</t>
  </si>
  <si>
    <t>2026-05-31</t>
  </si>
  <si>
    <t>35,36</t>
  </si>
  <si>
    <t>HARD FRIST: 31. mai 2026</t>
  </si>
  <si>
    <t>Forberede muntlig presentasjon</t>
  </si>
  <si>
    <t>2026-06-01</t>
  </si>
  <si>
    <t>2026-06-03</t>
  </si>
  <si>
    <t>37</t>
  </si>
  <si>
    <t>M5 ★ Muntlig eksamen</t>
  </si>
  <si>
    <t>38</t>
  </si>
  <si>
    <t>Tidlig juni 2026 | B-krav for bestått emne</t>
  </si>
  <si>
    <t>Milepæl ID</t>
  </si>
  <si>
    <t>Navn</t>
  </si>
  <si>
    <t>Frist</t>
  </si>
  <si>
    <t>Godkjenningskrav</t>
  </si>
  <si>
    <t>Status</t>
  </si>
  <si>
    <t>M1</t>
  </si>
  <si>
    <t>Godkjent proposal</t>
  </si>
  <si>
    <t>23. feb 2026</t>
  </si>
  <si>
    <t>C-nivå</t>
  </si>
  <si>
    <t>✅ Fullført</t>
  </si>
  <si>
    <t>M2</t>
  </si>
  <si>
    <t>Litteratursøk v1 + rapportskjelett</t>
  </si>
  <si>
    <t>9. mars 2026</t>
  </si>
  <si>
    <t>⬜ Ikke startet</t>
  </si>
  <si>
    <t>M3</t>
  </si>
  <si>
    <t>Godkjent prosjektplan + Gantt m/baseline</t>
  </si>
  <si>
    <t>🔄 Pågår</t>
  </si>
  <si>
    <t>M4</t>
  </si>
  <si>
    <t>Godkjent hovedutkast + peer review</t>
  </si>
  <si>
    <t>27. april 2026</t>
  </si>
  <si>
    <t>M5 rapport</t>
  </si>
  <si>
    <t>Ferdigstilt rapport innlevert</t>
  </si>
  <si>
    <t>31. mai 2026</t>
  </si>
  <si>
    <t>B-krav</t>
  </si>
  <si>
    <t>M5 muntlig</t>
  </si>
  <si>
    <t>Muntlig eksamen</t>
  </si>
  <si>
    <t>Tidlig juni 2026</t>
  </si>
  <si>
    <t>Uke</t>
  </si>
  <si>
    <t>Dato</t>
  </si>
  <si>
    <t>Aktivitet</t>
  </si>
  <si>
    <t>LLI-endring</t>
  </si>
  <si>
    <t>LLI nå</t>
  </si>
  <si>
    <t>Kommentar</t>
  </si>
  <si>
    <t>Prosjektstart</t>
  </si>
  <si>
    <t>Proposal godkjent</t>
  </si>
  <si>
    <t>+3</t>
  </si>
  <si>
    <t>M1 i mål</t>
  </si>
  <si>
    <t>9</t>
  </si>
  <si>
    <t>2026-03-01</t>
  </si>
  <si>
    <t>Fyll inn hendelse</t>
  </si>
  <si>
    <t>Legg til rader fortløpende. LLI nå = forrige LLI + endring (bruk formel =E[n-1]+D[n])</t>
  </si>
  <si>
    <t>MS PROJECT IMPORT — STEG-FOR-STEG</t>
  </si>
  <si>
    <t>STEG 1 — Importer Excel-filen</t>
  </si>
  <si>
    <t>Åpne MS Project</t>
  </si>
  <si>
    <t>Fil → Åpne → velg denne Excel-filen</t>
  </si>
  <si>
    <t>Velg riktig ark</t>
  </si>
  <si>
    <t>Velg arket «Gantt Import» i veiviseren</t>
  </si>
  <si>
    <t>Kartlegging av felt</t>
  </si>
  <si>
    <t>Velg «Prosjektoppgaveliste» som importmal</t>
  </si>
  <si>
    <t>MS Project kobler automatisk kolonnenavn som matcher standardfelt:</t>
  </si>
  <si>
    <t xml:space="preserve">  ID, Name, Duration, Start, Finish, Predecessors, % Complete, Notes</t>
  </si>
  <si>
    <t>Number1 mappes til egendefinert felt (se steg 3)</t>
  </si>
  <si>
    <t>STEG 2 — Sett referanseplan (baseline)</t>
  </si>
  <si>
    <t>Når planen er godkjent</t>
  </si>
  <si>
    <t>Prosjekt → Angi referanseplan → Angi referanseplan</t>
  </si>
  <si>
    <t>Viktig!</t>
  </si>
  <si>
    <t>Gjør dette FØR du oppdaterer noen % Complete — ellers mister du EV-beregning</t>
  </si>
  <si>
    <t>STEG 3 — Gi Number1 nytt navn (LLI)</t>
  </si>
  <si>
    <t>Høyreklikk kolonne Number1</t>
  </si>
  <si>
    <t>Velg «Egendefinerte felt»</t>
  </si>
  <si>
    <t>Klikk «Gi nytt navn»</t>
  </si>
  <si>
    <t>Skriv «LLI» og bekreft</t>
  </si>
  <si>
    <t>LLI-verdier i filen</t>
  </si>
  <si>
    <t>Fase 1 start = 100, etter M1 = 103 (forhåndsutfylt)</t>
  </si>
  <si>
    <t>Oppdater ukentlig</t>
  </si>
  <si>
    <t>Legg inn ny verdi på fasens sammendragsrad + oppdater LLI Tracker-arket</t>
  </si>
  <si>
    <t>STEG 4 — Oppdater % Complete ukentlig</t>
  </si>
  <si>
    <t>Kolonne er klar</t>
  </si>
  <si>
    <t>Fase 1-aktiviteter er satt til 100 % (ferdig)</t>
  </si>
  <si>
    <t>Alle andre = 0 %</t>
  </si>
  <si>
    <t>Oppdater fortløpende etter hvert som aktiviteter fullføres</t>
  </si>
  <si>
    <t>MS Project beregner</t>
  </si>
  <si>
    <t>EV (BCWP), PV (BCWS) og avvik automatisk mot baseline</t>
  </si>
  <si>
    <t>STEG 5 — Re-innlevering ved M4 og M5</t>
  </si>
  <si>
    <t>Eksporter Gantt tilbake til Excel</t>
  </si>
  <si>
    <t>Fil → Lagre som → Excel for å dokumentere faktisk vs. plan</t>
  </si>
  <si>
    <t>Sensor forventer å se</t>
  </si>
  <si>
    <t>Referanseplan (blå) vs. faktisk fremdrift (rød) i Gantt-diagrammet</t>
  </si>
  <si>
    <t>FELT-OVERSIKT</t>
  </si>
  <si>
    <t>Kolonnenavn i Excel</t>
  </si>
  <si>
    <t>MS Project-felt</t>
  </si>
  <si>
    <t>Outline Level (hierarki/WBS)</t>
  </si>
  <si>
    <t>Name (oppgavenavn)</t>
  </si>
  <si>
    <t>Duration (varighet i dager, f.eks. 5d)</t>
  </si>
  <si>
    <t>Start (planlagt startdato)</t>
  </si>
  <si>
    <t>Finish (planlagt sluttdato)</t>
  </si>
  <si>
    <t>Predecessors (avhengigheter, kommaseparert ID)</t>
  </si>
  <si>
    <t>Resource Names (ressursnavn)</t>
  </si>
  <si>
    <t>Notes (kommentarer og faglige referanser)</t>
  </si>
  <si>
    <t>% Complete (fremdrift 0–100)</t>
  </si>
  <si>
    <t>Number1 → gi nytt navn til «LLI» (se steg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</si>
</sst>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C9A227"/>
      <name val="Arial"/>
    </font>
    <font>
      <sz val="10"/>
      <name val="Arial"/>
    </font>
    <font>
      <b/>
      <sz val="10"/>
      <color rgb="FF8B0000"/>
      <name val="Arial"/>
    </font>
    <font>
      <b/>
      <sz val="10"/>
      <name val="Arial"/>
    </font>
    <font>
      <i/>
      <sz val="9"/>
      <color rgb="FF666666"/>
      <name val="Arial"/>
    </font>
    <font>
      <b/>
      <sz val="10"/>
      <color rgb="FF1D7044"/>
      <name val="Arial"/>
    </font>
    <font>
      <sz val="10"/>
      <color rgb="FFAAAAAA"/>
      <name val="Arial"/>
    </font>
    <font>
      <sz val="10"/>
      <color rgb="FFFFFFFF"/>
      <name val="Arial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rgb="FF2F5496"/>
      </patternFill>
    </fill>
    <fill>
      <patternFill patternType="solid">
        <fgColor rgb="FFEAF4EA"/>
      </patternFill>
    </fill>
    <fill>
      <patternFill patternType="solid">
        <fgColor rgb="FFE2EFDA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2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2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1"/>
    </xf>
    <xf numFmtId="0" fontId="1" fillId="6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7" borderId="1" xfId="0" applyFont="1" applyFill="1" applyBorder="1"/>
    <xf numFmtId="0" fontId="4" fillId="4" borderId="1" xfId="0" applyFont="1" applyFill="1" applyBorder="1"/>
    <xf numFmtId="0" fontId="4" fillId="3" borderId="1" xfId="0" applyFont="1" applyFill="1" applyBorder="1"/>
    <xf numFmtId="0" fontId="7" fillId="0" borderId="0" xfId="0" applyFont="1"/>
    <xf numFmtId="0" fontId="1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11" fillId="2" borderId="1" xfId="0" applyFont="1" applyFill="1" applyBorder="1" applyAlignment="1">
      <alignment horizontal="left" vertical="center" inden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5" customWidth="1"/>
    <col min="2" max="2" width="6" customWidth="1"/>
    <col min="3" max="3" width="52" customWidth="1"/>
    <col min="4" max="4" width="10" customWidth="1"/>
    <col min="5" max="6" width="13" customWidth="1"/>
    <col min="7" max="7" width="14" customWidth="1"/>
    <col min="8" max="8" width="16" customWidth="1"/>
    <col min="9" max="9" width="48" customWidth="1"/>
    <col min="10" max="10" width="13" customWidth="1"/>
    <col min="11" max="11" width="10" customWidth="1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9" t="s">
        <v>9</v>
      </c>
      <c r="K1" s="19" t="s">
        <v>10</v>
      </c>
    </row>
    <row r="2" spans="1:11" ht="18" customHeight="1" x14ac:dyDescent="0.25">
      <c r="A2" s="2">
        <v>1</v>
      </c>
      <c r="B2" s="3">
        <v>1</v>
      </c>
      <c r="C2" s="3" t="s">
        <v>11</v>
      </c>
      <c r="D2" s="2" t="s">
        <v>12</v>
      </c>
      <c r="E2" s="2" t="s">
        <v>13</v>
      </c>
      <c r="F2" s="2" t="s">
        <v>14</v>
      </c>
      <c r="G2" s="3"/>
      <c r="H2" s="3"/>
      <c r="I2" s="3"/>
      <c r="J2" s="20">
        <v>100</v>
      </c>
      <c r="K2" s="2">
        <v>100</v>
      </c>
    </row>
    <row r="3" spans="1:11" ht="18" customHeight="1" x14ac:dyDescent="0.25">
      <c r="A3" s="4">
        <v>2</v>
      </c>
      <c r="B3" s="5">
        <v>2</v>
      </c>
      <c r="C3" s="5" t="s">
        <v>15</v>
      </c>
      <c r="D3" s="4" t="s">
        <v>16</v>
      </c>
      <c r="E3" s="4" t="s">
        <v>13</v>
      </c>
      <c r="F3" s="4" t="s">
        <v>17</v>
      </c>
      <c r="G3" s="5"/>
      <c r="H3" s="5" t="s">
        <v>18</v>
      </c>
      <c r="I3" s="5" t="s">
        <v>19</v>
      </c>
      <c r="J3" s="20">
        <v>100</v>
      </c>
      <c r="K3" s="21"/>
    </row>
    <row r="4" spans="1:11" ht="18" customHeight="1" x14ac:dyDescent="0.25">
      <c r="A4" s="6">
        <v>3</v>
      </c>
      <c r="B4" s="7">
        <v>2</v>
      </c>
      <c r="C4" s="7" t="s">
        <v>20</v>
      </c>
      <c r="D4" s="6" t="s">
        <v>16</v>
      </c>
      <c r="E4" s="6" t="s">
        <v>21</v>
      </c>
      <c r="F4" s="6" t="s">
        <v>22</v>
      </c>
      <c r="G4" s="7" t="s">
        <v>23</v>
      </c>
      <c r="H4" s="7" t="s">
        <v>18</v>
      </c>
      <c r="I4" s="7"/>
      <c r="J4" s="20">
        <v>100</v>
      </c>
      <c r="K4" s="22"/>
    </row>
    <row r="5" spans="1:11" ht="18" customHeight="1" x14ac:dyDescent="0.25">
      <c r="A5" s="4">
        <v>4</v>
      </c>
      <c r="B5" s="5">
        <v>2</v>
      </c>
      <c r="C5" s="5" t="s">
        <v>24</v>
      </c>
      <c r="D5" s="4" t="s">
        <v>25</v>
      </c>
      <c r="E5" s="4" t="s">
        <v>26</v>
      </c>
      <c r="F5" s="4" t="s">
        <v>27</v>
      </c>
      <c r="G5" s="5" t="s">
        <v>28</v>
      </c>
      <c r="H5" s="5" t="s">
        <v>18</v>
      </c>
      <c r="I5" s="5"/>
      <c r="J5" s="20">
        <v>100</v>
      </c>
      <c r="K5" s="21"/>
    </row>
    <row r="6" spans="1:11" ht="18" customHeight="1" x14ac:dyDescent="0.25">
      <c r="A6" s="6">
        <v>5</v>
      </c>
      <c r="B6" s="7">
        <v>2</v>
      </c>
      <c r="C6" s="7" t="s">
        <v>29</v>
      </c>
      <c r="D6" s="6" t="s">
        <v>25</v>
      </c>
      <c r="E6" s="6" t="s">
        <v>30</v>
      </c>
      <c r="F6" s="6" t="s">
        <v>31</v>
      </c>
      <c r="G6" s="7" t="s">
        <v>32</v>
      </c>
      <c r="H6" s="7" t="s">
        <v>18</v>
      </c>
      <c r="I6" s="7"/>
      <c r="J6" s="20">
        <v>100</v>
      </c>
      <c r="K6" s="22"/>
    </row>
    <row r="7" spans="1:11" ht="18" customHeight="1" x14ac:dyDescent="0.25">
      <c r="A7" s="8">
        <v>6</v>
      </c>
      <c r="B7" s="9">
        <v>2</v>
      </c>
      <c r="C7" s="9" t="s">
        <v>33</v>
      </c>
      <c r="D7" s="8" t="s">
        <v>34</v>
      </c>
      <c r="E7" s="8" t="s">
        <v>14</v>
      </c>
      <c r="F7" s="8" t="s">
        <v>14</v>
      </c>
      <c r="G7" s="9" t="s">
        <v>35</v>
      </c>
      <c r="H7" s="9"/>
      <c r="I7" s="9" t="s">
        <v>36</v>
      </c>
      <c r="J7" s="20">
        <v>100</v>
      </c>
      <c r="K7" s="8">
        <v>103</v>
      </c>
    </row>
    <row r="8" spans="1:11" ht="18" customHeight="1" x14ac:dyDescent="0.25">
      <c r="A8" s="2">
        <v>7</v>
      </c>
      <c r="B8" s="3">
        <v>1</v>
      </c>
      <c r="C8" s="3" t="s">
        <v>37</v>
      </c>
      <c r="D8" s="2" t="s">
        <v>38</v>
      </c>
      <c r="E8" s="2" t="s">
        <v>39</v>
      </c>
      <c r="F8" s="2" t="s">
        <v>40</v>
      </c>
      <c r="G8" s="3"/>
      <c r="H8" s="3"/>
      <c r="I8" s="3" t="s">
        <v>41</v>
      </c>
      <c r="J8" s="23"/>
      <c r="K8" s="2"/>
    </row>
    <row r="9" spans="1:11" ht="18" customHeight="1" x14ac:dyDescent="0.25">
      <c r="A9" s="4">
        <v>8</v>
      </c>
      <c r="B9" s="5">
        <v>2</v>
      </c>
      <c r="C9" s="5" t="s">
        <v>42</v>
      </c>
      <c r="D9" s="4" t="s">
        <v>25</v>
      </c>
      <c r="E9" s="4" t="s">
        <v>39</v>
      </c>
      <c r="F9" s="4" t="s">
        <v>43</v>
      </c>
      <c r="G9" s="5"/>
      <c r="H9" s="5" t="s">
        <v>18</v>
      </c>
      <c r="I9" s="5" t="s">
        <v>44</v>
      </c>
      <c r="J9" s="6">
        <v>0</v>
      </c>
      <c r="K9" s="21"/>
    </row>
    <row r="10" spans="1:11" ht="18" customHeight="1" x14ac:dyDescent="0.25">
      <c r="A10" s="6">
        <v>9</v>
      </c>
      <c r="B10" s="7">
        <v>2</v>
      </c>
      <c r="C10" s="7" t="s">
        <v>45</v>
      </c>
      <c r="D10" s="6" t="s">
        <v>46</v>
      </c>
      <c r="E10" s="6" t="s">
        <v>47</v>
      </c>
      <c r="F10" s="6" t="s">
        <v>48</v>
      </c>
      <c r="G10" s="7" t="s">
        <v>49</v>
      </c>
      <c r="H10" s="7" t="s">
        <v>18</v>
      </c>
      <c r="I10" s="7" t="s">
        <v>50</v>
      </c>
      <c r="J10" s="4">
        <v>0</v>
      </c>
      <c r="K10" s="22"/>
    </row>
    <row r="11" spans="1:11" ht="18" customHeight="1" x14ac:dyDescent="0.25">
      <c r="A11" s="4">
        <v>10</v>
      </c>
      <c r="B11" s="5">
        <v>2</v>
      </c>
      <c r="C11" s="5" t="s">
        <v>51</v>
      </c>
      <c r="D11" s="4" t="s">
        <v>52</v>
      </c>
      <c r="E11" s="4" t="s">
        <v>53</v>
      </c>
      <c r="F11" s="4" t="s">
        <v>54</v>
      </c>
      <c r="G11" s="5" t="s">
        <v>49</v>
      </c>
      <c r="H11" s="5" t="s">
        <v>18</v>
      </c>
      <c r="I11" s="5" t="s">
        <v>55</v>
      </c>
      <c r="J11" s="6">
        <v>0</v>
      </c>
      <c r="K11" s="21"/>
    </row>
    <row r="12" spans="1:11" ht="18" customHeight="1" x14ac:dyDescent="0.25">
      <c r="A12" s="6">
        <v>11</v>
      </c>
      <c r="B12" s="7">
        <v>2</v>
      </c>
      <c r="C12" s="7" t="s">
        <v>56</v>
      </c>
      <c r="D12" s="6" t="s">
        <v>52</v>
      </c>
      <c r="E12" s="6" t="s">
        <v>53</v>
      </c>
      <c r="F12" s="6" t="s">
        <v>57</v>
      </c>
      <c r="G12" s="7" t="s">
        <v>49</v>
      </c>
      <c r="H12" s="7" t="s">
        <v>18</v>
      </c>
      <c r="I12" s="7" t="s">
        <v>58</v>
      </c>
      <c r="J12" s="4">
        <v>0</v>
      </c>
      <c r="K12" s="22"/>
    </row>
    <row r="13" spans="1:11" ht="18" customHeight="1" x14ac:dyDescent="0.25">
      <c r="A13" s="4">
        <v>12</v>
      </c>
      <c r="B13" s="5">
        <v>2</v>
      </c>
      <c r="C13" s="5" t="s">
        <v>59</v>
      </c>
      <c r="D13" s="4" t="s">
        <v>52</v>
      </c>
      <c r="E13" s="4" t="s">
        <v>54</v>
      </c>
      <c r="F13" s="4" t="s">
        <v>60</v>
      </c>
      <c r="G13" s="5" t="s">
        <v>61</v>
      </c>
      <c r="H13" s="5" t="s">
        <v>18</v>
      </c>
      <c r="I13" s="5" t="s">
        <v>62</v>
      </c>
      <c r="J13" s="6">
        <v>0</v>
      </c>
      <c r="K13" s="21"/>
    </row>
    <row r="14" spans="1:11" ht="18" customHeight="1" x14ac:dyDescent="0.25">
      <c r="A14" s="6">
        <v>13</v>
      </c>
      <c r="B14" s="7">
        <v>2</v>
      </c>
      <c r="C14" s="7" t="s">
        <v>63</v>
      </c>
      <c r="D14" s="6" t="s">
        <v>16</v>
      </c>
      <c r="E14" s="6" t="s">
        <v>47</v>
      </c>
      <c r="F14" s="6" t="s">
        <v>53</v>
      </c>
      <c r="G14" s="7" t="s">
        <v>49</v>
      </c>
      <c r="H14" s="7" t="s">
        <v>18</v>
      </c>
      <c r="I14" s="7" t="s">
        <v>64</v>
      </c>
      <c r="J14" s="4">
        <v>0</v>
      </c>
      <c r="K14" s="22"/>
    </row>
    <row r="15" spans="1:11" ht="18" customHeight="1" x14ac:dyDescent="0.25">
      <c r="A15" s="4">
        <v>14</v>
      </c>
      <c r="B15" s="5">
        <v>2</v>
      </c>
      <c r="C15" s="5" t="s">
        <v>65</v>
      </c>
      <c r="D15" s="4" t="s">
        <v>52</v>
      </c>
      <c r="E15" s="4" t="s">
        <v>66</v>
      </c>
      <c r="F15" s="4" t="s">
        <v>67</v>
      </c>
      <c r="G15" s="5" t="s">
        <v>49</v>
      </c>
      <c r="H15" s="5" t="s">
        <v>18</v>
      </c>
      <c r="I15" s="5" t="s">
        <v>68</v>
      </c>
      <c r="J15" s="6">
        <v>0</v>
      </c>
      <c r="K15" s="21"/>
    </row>
    <row r="16" spans="1:11" ht="18" customHeight="1" x14ac:dyDescent="0.25">
      <c r="A16" s="8">
        <v>15</v>
      </c>
      <c r="B16" s="9">
        <v>2</v>
      </c>
      <c r="C16" s="9" t="s">
        <v>69</v>
      </c>
      <c r="D16" s="8" t="s">
        <v>34</v>
      </c>
      <c r="E16" s="8" t="s">
        <v>67</v>
      </c>
      <c r="F16" s="8" t="s">
        <v>67</v>
      </c>
      <c r="G16" s="9" t="s">
        <v>70</v>
      </c>
      <c r="H16" s="9"/>
      <c r="I16" s="9" t="s">
        <v>71</v>
      </c>
      <c r="J16" s="8">
        <v>0</v>
      </c>
      <c r="K16" s="24"/>
    </row>
    <row r="17" spans="1:11" ht="18" customHeight="1" x14ac:dyDescent="0.25">
      <c r="A17" s="8">
        <v>16</v>
      </c>
      <c r="B17" s="9">
        <v>2</v>
      </c>
      <c r="C17" s="9" t="s">
        <v>72</v>
      </c>
      <c r="D17" s="8" t="s">
        <v>34</v>
      </c>
      <c r="E17" s="8" t="s">
        <v>40</v>
      </c>
      <c r="F17" s="8" t="s">
        <v>40</v>
      </c>
      <c r="G17" s="9" t="s">
        <v>73</v>
      </c>
      <c r="H17" s="9"/>
      <c r="I17" s="9" t="s">
        <v>74</v>
      </c>
      <c r="J17" s="8">
        <v>0</v>
      </c>
      <c r="K17" s="24"/>
    </row>
    <row r="18" spans="1:11" ht="18" customHeight="1" x14ac:dyDescent="0.25">
      <c r="A18" s="2">
        <v>17</v>
      </c>
      <c r="B18" s="3">
        <v>1</v>
      </c>
      <c r="C18" s="3" t="s">
        <v>75</v>
      </c>
      <c r="D18" s="2" t="s">
        <v>76</v>
      </c>
      <c r="E18" s="2" t="s">
        <v>40</v>
      </c>
      <c r="F18" s="2" t="s">
        <v>77</v>
      </c>
      <c r="G18" s="3"/>
      <c r="H18" s="3"/>
      <c r="I18" s="3" t="s">
        <v>78</v>
      </c>
      <c r="J18" s="23"/>
      <c r="K18" s="2"/>
    </row>
    <row r="19" spans="1:11" ht="18" customHeight="1" x14ac:dyDescent="0.25">
      <c r="A19" s="4">
        <v>18</v>
      </c>
      <c r="B19" s="5">
        <v>2</v>
      </c>
      <c r="C19" s="5" t="s">
        <v>79</v>
      </c>
      <c r="D19" s="4" t="s">
        <v>25</v>
      </c>
      <c r="E19" s="4" t="s">
        <v>40</v>
      </c>
      <c r="F19" s="4" t="s">
        <v>80</v>
      </c>
      <c r="G19" s="5" t="s">
        <v>81</v>
      </c>
      <c r="H19" s="5" t="s">
        <v>18</v>
      </c>
      <c r="I19" s="5" t="s">
        <v>82</v>
      </c>
      <c r="J19" s="6">
        <v>0</v>
      </c>
      <c r="K19" s="21"/>
    </row>
    <row r="20" spans="1:11" ht="18" customHeight="1" x14ac:dyDescent="0.25">
      <c r="A20" s="6">
        <v>19</v>
      </c>
      <c r="B20" s="7">
        <v>2</v>
      </c>
      <c r="C20" s="7" t="s">
        <v>83</v>
      </c>
      <c r="D20" s="6" t="s">
        <v>84</v>
      </c>
      <c r="E20" s="6" t="s">
        <v>40</v>
      </c>
      <c r="F20" s="6" t="s">
        <v>85</v>
      </c>
      <c r="G20" s="7" t="s">
        <v>81</v>
      </c>
      <c r="H20" s="7" t="s">
        <v>18</v>
      </c>
      <c r="I20" s="7" t="s">
        <v>86</v>
      </c>
      <c r="J20" s="4">
        <v>0</v>
      </c>
      <c r="K20" s="22"/>
    </row>
    <row r="21" spans="1:11" ht="18" customHeight="1" x14ac:dyDescent="0.25">
      <c r="A21" s="4">
        <v>20</v>
      </c>
      <c r="B21" s="5">
        <v>2</v>
      </c>
      <c r="C21" s="5" t="s">
        <v>87</v>
      </c>
      <c r="D21" s="4" t="s">
        <v>16</v>
      </c>
      <c r="E21" s="4" t="s">
        <v>88</v>
      </c>
      <c r="F21" s="4" t="s">
        <v>89</v>
      </c>
      <c r="G21" s="5" t="s">
        <v>90</v>
      </c>
      <c r="H21" s="5" t="s">
        <v>18</v>
      </c>
      <c r="I21" s="5" t="s">
        <v>91</v>
      </c>
      <c r="J21" s="6">
        <v>0</v>
      </c>
      <c r="K21" s="21"/>
    </row>
    <row r="22" spans="1:11" ht="18" customHeight="1" x14ac:dyDescent="0.25">
      <c r="A22" s="6">
        <v>21</v>
      </c>
      <c r="B22" s="7">
        <v>2</v>
      </c>
      <c r="C22" s="7" t="s">
        <v>92</v>
      </c>
      <c r="D22" s="6" t="s">
        <v>46</v>
      </c>
      <c r="E22" s="6" t="s">
        <v>88</v>
      </c>
      <c r="F22" s="6" t="s">
        <v>93</v>
      </c>
      <c r="G22" s="7" t="s">
        <v>94</v>
      </c>
      <c r="H22" s="7" t="s">
        <v>18</v>
      </c>
      <c r="I22" s="7" t="s">
        <v>95</v>
      </c>
      <c r="J22" s="4">
        <v>0</v>
      </c>
      <c r="K22" s="22"/>
    </row>
    <row r="23" spans="1:11" ht="18" customHeight="1" x14ac:dyDescent="0.25">
      <c r="A23" s="4">
        <v>22</v>
      </c>
      <c r="B23" s="5">
        <v>2</v>
      </c>
      <c r="C23" s="5" t="s">
        <v>96</v>
      </c>
      <c r="D23" s="4" t="s">
        <v>97</v>
      </c>
      <c r="E23" s="4" t="s">
        <v>89</v>
      </c>
      <c r="F23" s="4" t="s">
        <v>98</v>
      </c>
      <c r="G23" s="5" t="s">
        <v>99</v>
      </c>
      <c r="H23" s="5" t="s">
        <v>18</v>
      </c>
      <c r="I23" s="5" t="s">
        <v>100</v>
      </c>
      <c r="J23" s="6">
        <v>0</v>
      </c>
      <c r="K23" s="21"/>
    </row>
    <row r="24" spans="1:11" ht="18" customHeight="1" x14ac:dyDescent="0.25">
      <c r="A24" s="6">
        <v>23</v>
      </c>
      <c r="B24" s="7">
        <v>2</v>
      </c>
      <c r="C24" s="7" t="s">
        <v>101</v>
      </c>
      <c r="D24" s="6" t="s">
        <v>102</v>
      </c>
      <c r="E24" s="6" t="s">
        <v>103</v>
      </c>
      <c r="F24" s="6" t="s">
        <v>104</v>
      </c>
      <c r="G24" s="7" t="s">
        <v>99</v>
      </c>
      <c r="H24" s="7" t="s">
        <v>18</v>
      </c>
      <c r="I24" s="7" t="s">
        <v>105</v>
      </c>
      <c r="J24" s="4">
        <v>0</v>
      </c>
      <c r="K24" s="22"/>
    </row>
    <row r="25" spans="1:11" ht="18" customHeight="1" x14ac:dyDescent="0.25">
      <c r="A25" s="4">
        <v>24</v>
      </c>
      <c r="B25" s="5">
        <v>2</v>
      </c>
      <c r="C25" s="5" t="s">
        <v>106</v>
      </c>
      <c r="D25" s="4" t="s">
        <v>46</v>
      </c>
      <c r="E25" s="4" t="s">
        <v>107</v>
      </c>
      <c r="F25" s="4" t="s">
        <v>108</v>
      </c>
      <c r="G25" s="5" t="s">
        <v>109</v>
      </c>
      <c r="H25" s="5" t="s">
        <v>18</v>
      </c>
      <c r="I25" s="5" t="s">
        <v>110</v>
      </c>
      <c r="J25" s="6">
        <v>0</v>
      </c>
      <c r="K25" s="21"/>
    </row>
    <row r="26" spans="1:11" ht="18" customHeight="1" x14ac:dyDescent="0.25">
      <c r="A26" s="6">
        <v>25</v>
      </c>
      <c r="B26" s="7">
        <v>2</v>
      </c>
      <c r="C26" s="7" t="s">
        <v>111</v>
      </c>
      <c r="D26" s="6" t="s">
        <v>46</v>
      </c>
      <c r="E26" s="6" t="s">
        <v>112</v>
      </c>
      <c r="F26" s="6" t="s">
        <v>113</v>
      </c>
      <c r="G26" s="7" t="s">
        <v>114</v>
      </c>
      <c r="H26" s="7" t="s">
        <v>18</v>
      </c>
      <c r="I26" s="7"/>
      <c r="J26" s="4">
        <v>0</v>
      </c>
      <c r="K26" s="22"/>
    </row>
    <row r="27" spans="1:11" ht="18" customHeight="1" x14ac:dyDescent="0.25">
      <c r="A27" s="4">
        <v>26</v>
      </c>
      <c r="B27" s="5">
        <v>2</v>
      </c>
      <c r="C27" s="5" t="s">
        <v>115</v>
      </c>
      <c r="D27" s="4" t="s">
        <v>25</v>
      </c>
      <c r="E27" s="4" t="s">
        <v>116</v>
      </c>
      <c r="F27" s="4" t="s">
        <v>117</v>
      </c>
      <c r="G27" s="5" t="s">
        <v>118</v>
      </c>
      <c r="H27" s="5" t="s">
        <v>18</v>
      </c>
      <c r="I27" s="5" t="s">
        <v>119</v>
      </c>
      <c r="J27" s="6">
        <v>0</v>
      </c>
      <c r="K27" s="21"/>
    </row>
    <row r="28" spans="1:11" ht="18" customHeight="1" x14ac:dyDescent="0.25">
      <c r="A28" s="6">
        <v>27</v>
      </c>
      <c r="B28" s="7">
        <v>2</v>
      </c>
      <c r="C28" s="7" t="s">
        <v>120</v>
      </c>
      <c r="D28" s="6" t="s">
        <v>46</v>
      </c>
      <c r="E28" s="6" t="s">
        <v>116</v>
      </c>
      <c r="F28" s="6" t="s">
        <v>121</v>
      </c>
      <c r="G28" s="7" t="s">
        <v>122</v>
      </c>
      <c r="H28" s="7" t="s">
        <v>18</v>
      </c>
      <c r="I28" s="7" t="s">
        <v>123</v>
      </c>
      <c r="J28" s="4">
        <v>0</v>
      </c>
      <c r="K28" s="22"/>
    </row>
    <row r="29" spans="1:11" ht="18" customHeight="1" x14ac:dyDescent="0.25">
      <c r="A29" s="4">
        <v>28</v>
      </c>
      <c r="B29" s="5">
        <v>2</v>
      </c>
      <c r="C29" s="5" t="s">
        <v>124</v>
      </c>
      <c r="D29" s="4" t="s">
        <v>34</v>
      </c>
      <c r="E29" s="4" t="s">
        <v>117</v>
      </c>
      <c r="F29" s="4" t="s">
        <v>125</v>
      </c>
      <c r="G29" s="5" t="s">
        <v>126</v>
      </c>
      <c r="H29" s="5" t="s">
        <v>18</v>
      </c>
      <c r="I29" s="5" t="s">
        <v>127</v>
      </c>
      <c r="J29" s="6">
        <v>0</v>
      </c>
      <c r="K29" s="21"/>
    </row>
    <row r="30" spans="1:11" ht="18" customHeight="1" x14ac:dyDescent="0.25">
      <c r="A30" s="6">
        <v>29</v>
      </c>
      <c r="B30" s="7">
        <v>2</v>
      </c>
      <c r="C30" s="7" t="s">
        <v>128</v>
      </c>
      <c r="D30" s="6" t="s">
        <v>52</v>
      </c>
      <c r="E30" s="6" t="s">
        <v>125</v>
      </c>
      <c r="F30" s="6" t="s">
        <v>77</v>
      </c>
      <c r="G30" s="7" t="s">
        <v>129</v>
      </c>
      <c r="H30" s="7" t="s">
        <v>18</v>
      </c>
      <c r="I30" s="7"/>
      <c r="J30" s="4">
        <v>0</v>
      </c>
      <c r="K30" s="22"/>
    </row>
    <row r="31" spans="1:11" ht="18" customHeight="1" x14ac:dyDescent="0.25">
      <c r="A31" s="8">
        <v>30</v>
      </c>
      <c r="B31" s="9">
        <v>2</v>
      </c>
      <c r="C31" s="9" t="s">
        <v>130</v>
      </c>
      <c r="D31" s="8" t="s">
        <v>34</v>
      </c>
      <c r="E31" s="8" t="s">
        <v>77</v>
      </c>
      <c r="F31" s="8" t="s">
        <v>77</v>
      </c>
      <c r="G31" s="9" t="s">
        <v>131</v>
      </c>
      <c r="H31" s="9"/>
      <c r="I31" s="9" t="s">
        <v>132</v>
      </c>
      <c r="J31" s="8">
        <v>0</v>
      </c>
      <c r="K31" s="24"/>
    </row>
    <row r="32" spans="1:11" ht="18" customHeight="1" x14ac:dyDescent="0.25">
      <c r="A32" s="2">
        <v>31</v>
      </c>
      <c r="B32" s="3">
        <v>1</v>
      </c>
      <c r="C32" s="3" t="s">
        <v>133</v>
      </c>
      <c r="D32" s="2" t="s">
        <v>134</v>
      </c>
      <c r="E32" s="2" t="s">
        <v>77</v>
      </c>
      <c r="F32" s="2" t="s">
        <v>135</v>
      </c>
      <c r="G32" s="3"/>
      <c r="H32" s="3"/>
      <c r="I32" s="3"/>
      <c r="J32" s="23"/>
      <c r="K32" s="2"/>
    </row>
    <row r="33" spans="1:11" ht="18" customHeight="1" x14ac:dyDescent="0.25">
      <c r="A33" s="4">
        <v>32</v>
      </c>
      <c r="B33" s="5">
        <v>2</v>
      </c>
      <c r="C33" s="5" t="s">
        <v>136</v>
      </c>
      <c r="D33" s="4" t="s">
        <v>16</v>
      </c>
      <c r="E33" s="4" t="s">
        <v>77</v>
      </c>
      <c r="F33" s="4" t="s">
        <v>137</v>
      </c>
      <c r="G33" s="5" t="s">
        <v>138</v>
      </c>
      <c r="H33" s="5" t="s">
        <v>18</v>
      </c>
      <c r="I33" s="5"/>
      <c r="J33" s="6">
        <v>0</v>
      </c>
      <c r="K33" s="21"/>
    </row>
    <row r="34" spans="1:11" ht="18" customHeight="1" x14ac:dyDescent="0.25">
      <c r="A34" s="6">
        <v>33</v>
      </c>
      <c r="B34" s="7">
        <v>2</v>
      </c>
      <c r="C34" s="7" t="s">
        <v>139</v>
      </c>
      <c r="D34" s="6" t="s">
        <v>84</v>
      </c>
      <c r="E34" s="6" t="s">
        <v>140</v>
      </c>
      <c r="F34" s="6" t="s">
        <v>141</v>
      </c>
      <c r="G34" s="7" t="s">
        <v>142</v>
      </c>
      <c r="H34" s="7" t="s">
        <v>18</v>
      </c>
      <c r="I34" s="7" t="s">
        <v>143</v>
      </c>
      <c r="J34" s="4">
        <v>0</v>
      </c>
      <c r="K34" s="22"/>
    </row>
    <row r="35" spans="1:11" ht="18" customHeight="1" x14ac:dyDescent="0.25">
      <c r="A35" s="4">
        <v>34</v>
      </c>
      <c r="B35" s="5">
        <v>2</v>
      </c>
      <c r="C35" s="5" t="s">
        <v>144</v>
      </c>
      <c r="D35" s="4" t="s">
        <v>52</v>
      </c>
      <c r="E35" s="4" t="s">
        <v>145</v>
      </c>
      <c r="F35" s="4" t="s">
        <v>146</v>
      </c>
      <c r="G35" s="5" t="s">
        <v>147</v>
      </c>
      <c r="H35" s="5" t="s">
        <v>18</v>
      </c>
      <c r="I35" s="5" t="s">
        <v>148</v>
      </c>
      <c r="J35" s="6">
        <v>0</v>
      </c>
      <c r="K35" s="21"/>
    </row>
    <row r="36" spans="1:11" ht="18" customHeight="1" x14ac:dyDescent="0.25">
      <c r="A36" s="6">
        <v>35</v>
      </c>
      <c r="B36" s="7">
        <v>2</v>
      </c>
      <c r="C36" s="7" t="s">
        <v>149</v>
      </c>
      <c r="D36" s="6" t="s">
        <v>25</v>
      </c>
      <c r="E36" s="6" t="s">
        <v>150</v>
      </c>
      <c r="F36" s="6" t="s">
        <v>151</v>
      </c>
      <c r="G36" s="7" t="s">
        <v>152</v>
      </c>
      <c r="H36" s="7" t="s">
        <v>18</v>
      </c>
      <c r="I36" s="7" t="s">
        <v>153</v>
      </c>
      <c r="J36" s="4">
        <v>0</v>
      </c>
      <c r="K36" s="22"/>
    </row>
    <row r="37" spans="1:11" ht="18" customHeight="1" x14ac:dyDescent="0.25">
      <c r="A37" s="4">
        <v>36</v>
      </c>
      <c r="B37" s="5">
        <v>2</v>
      </c>
      <c r="C37" s="5" t="s">
        <v>154</v>
      </c>
      <c r="D37" s="4" t="s">
        <v>155</v>
      </c>
      <c r="E37" s="4" t="s">
        <v>151</v>
      </c>
      <c r="F37" s="4" t="s">
        <v>151</v>
      </c>
      <c r="G37" s="5" t="s">
        <v>152</v>
      </c>
      <c r="H37" s="5" t="s">
        <v>18</v>
      </c>
      <c r="I37" s="5" t="s">
        <v>156</v>
      </c>
      <c r="J37" s="6">
        <v>0</v>
      </c>
      <c r="K37" s="21"/>
    </row>
    <row r="38" spans="1:11" ht="18" customHeight="1" x14ac:dyDescent="0.25">
      <c r="A38" s="8">
        <v>37</v>
      </c>
      <c r="B38" s="9">
        <v>2</v>
      </c>
      <c r="C38" s="9" t="s">
        <v>157</v>
      </c>
      <c r="D38" s="8" t="s">
        <v>34</v>
      </c>
      <c r="E38" s="8" t="s">
        <v>158</v>
      </c>
      <c r="F38" s="8" t="s">
        <v>158</v>
      </c>
      <c r="G38" s="9" t="s">
        <v>159</v>
      </c>
      <c r="H38" s="9"/>
      <c r="I38" s="9" t="s">
        <v>160</v>
      </c>
      <c r="J38" s="8">
        <v>0</v>
      </c>
      <c r="K38" s="24"/>
    </row>
    <row r="39" spans="1:11" ht="18" customHeight="1" x14ac:dyDescent="0.25">
      <c r="A39" s="4">
        <v>38</v>
      </c>
      <c r="B39" s="5">
        <v>2</v>
      </c>
      <c r="C39" s="5" t="s">
        <v>161</v>
      </c>
      <c r="D39" s="4" t="s">
        <v>25</v>
      </c>
      <c r="E39" s="4" t="s">
        <v>162</v>
      </c>
      <c r="F39" s="4" t="s">
        <v>163</v>
      </c>
      <c r="G39" s="5" t="s">
        <v>164</v>
      </c>
      <c r="H39" s="5" t="s">
        <v>18</v>
      </c>
      <c r="I39" s="5"/>
      <c r="J39" s="6">
        <v>0</v>
      </c>
      <c r="K39" s="21"/>
    </row>
    <row r="40" spans="1:11" ht="18" customHeight="1" x14ac:dyDescent="0.25">
      <c r="A40" s="8">
        <v>39</v>
      </c>
      <c r="B40" s="9">
        <v>2</v>
      </c>
      <c r="C40" s="9" t="s">
        <v>165</v>
      </c>
      <c r="D40" s="8" t="s">
        <v>34</v>
      </c>
      <c r="E40" s="8" t="s">
        <v>135</v>
      </c>
      <c r="F40" s="8" t="s">
        <v>135</v>
      </c>
      <c r="G40" s="9" t="s">
        <v>166</v>
      </c>
      <c r="H40" s="9"/>
      <c r="I40" s="9" t="s">
        <v>167</v>
      </c>
      <c r="J40" s="8">
        <v>0</v>
      </c>
      <c r="K40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9.140625" defaultRowHeight="15" x14ac:dyDescent="0.25"/>
  <cols>
    <col min="1" max="1" width="12" customWidth="1"/>
    <col min="2" max="2" width="45" customWidth="1"/>
    <col min="3" max="3" width="22" customWidth="1"/>
    <col min="4" max="4" width="20" customWidth="1"/>
    <col min="5" max="5" width="16" customWidth="1"/>
  </cols>
  <sheetData>
    <row r="1" spans="1:5" x14ac:dyDescent="0.25">
      <c r="A1" s="10" t="s">
        <v>168</v>
      </c>
      <c r="B1" s="10" t="s">
        <v>169</v>
      </c>
      <c r="C1" s="10" t="s">
        <v>170</v>
      </c>
      <c r="D1" s="10" t="s">
        <v>171</v>
      </c>
      <c r="E1" s="10" t="s">
        <v>172</v>
      </c>
    </row>
    <row r="2" spans="1:5" ht="20.100000000000001" customHeight="1" x14ac:dyDescent="0.25">
      <c r="A2" s="11" t="s">
        <v>173</v>
      </c>
      <c r="B2" s="11" t="s">
        <v>174</v>
      </c>
      <c r="C2" s="11" t="s">
        <v>175</v>
      </c>
      <c r="D2" s="11" t="s">
        <v>176</v>
      </c>
      <c r="E2" s="11" t="s">
        <v>177</v>
      </c>
    </row>
    <row r="3" spans="1:5" ht="20.100000000000001" customHeight="1" x14ac:dyDescent="0.25">
      <c r="A3" s="12" t="s">
        <v>178</v>
      </c>
      <c r="B3" s="12" t="s">
        <v>179</v>
      </c>
      <c r="C3" s="12" t="s">
        <v>180</v>
      </c>
      <c r="D3" s="12" t="s">
        <v>176</v>
      </c>
      <c r="E3" s="12" t="s">
        <v>181</v>
      </c>
    </row>
    <row r="4" spans="1:5" ht="20.100000000000001" customHeight="1" x14ac:dyDescent="0.25">
      <c r="A4" s="11" t="s">
        <v>182</v>
      </c>
      <c r="B4" s="11" t="s">
        <v>183</v>
      </c>
      <c r="C4" s="11" t="s">
        <v>180</v>
      </c>
      <c r="D4" s="11" t="s">
        <v>176</v>
      </c>
      <c r="E4" s="11" t="s">
        <v>184</v>
      </c>
    </row>
    <row r="5" spans="1:5" ht="20.100000000000001" customHeight="1" x14ac:dyDescent="0.25">
      <c r="A5" s="12" t="s">
        <v>185</v>
      </c>
      <c r="B5" s="12" t="s">
        <v>186</v>
      </c>
      <c r="C5" s="12" t="s">
        <v>187</v>
      </c>
      <c r="D5" s="12" t="s">
        <v>176</v>
      </c>
      <c r="E5" s="12" t="s">
        <v>181</v>
      </c>
    </row>
    <row r="6" spans="1:5" ht="20.100000000000001" customHeight="1" x14ac:dyDescent="0.25">
      <c r="A6" s="13" t="s">
        <v>188</v>
      </c>
      <c r="B6" s="13" t="s">
        <v>189</v>
      </c>
      <c r="C6" s="13" t="s">
        <v>190</v>
      </c>
      <c r="D6" s="13" t="s">
        <v>191</v>
      </c>
      <c r="E6" s="13" t="s">
        <v>181</v>
      </c>
    </row>
    <row r="7" spans="1:5" ht="20.100000000000001" customHeight="1" x14ac:dyDescent="0.25">
      <c r="A7" s="14" t="s">
        <v>192</v>
      </c>
      <c r="B7" s="14" t="s">
        <v>193</v>
      </c>
      <c r="C7" s="14" t="s">
        <v>194</v>
      </c>
      <c r="D7" s="14" t="s">
        <v>191</v>
      </c>
      <c r="E7" s="14" t="s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baseColWidth="10" defaultColWidth="9.140625" defaultRowHeight="15" x14ac:dyDescent="0.25"/>
  <cols>
    <col min="1" max="1" width="8" customWidth="1"/>
    <col min="2" max="2" width="14" customWidth="1"/>
    <col min="3" max="3" width="40" customWidth="1"/>
    <col min="4" max="4" width="14" customWidth="1"/>
    <col min="5" max="5" width="10" customWidth="1"/>
    <col min="6" max="6" width="35" customWidth="1"/>
  </cols>
  <sheetData>
    <row r="1" spans="1:6" x14ac:dyDescent="0.25">
      <c r="A1" s="10" t="s">
        <v>195</v>
      </c>
      <c r="B1" s="10" t="s">
        <v>196</v>
      </c>
      <c r="C1" s="10" t="s">
        <v>197</v>
      </c>
      <c r="D1" s="10" t="s">
        <v>198</v>
      </c>
      <c r="E1" s="10" t="s">
        <v>199</v>
      </c>
      <c r="F1" s="10" t="s">
        <v>200</v>
      </c>
    </row>
    <row r="2" spans="1:6" x14ac:dyDescent="0.25">
      <c r="A2" s="15" t="s">
        <v>4</v>
      </c>
      <c r="B2" s="15"/>
      <c r="C2" s="15" t="s">
        <v>201</v>
      </c>
      <c r="D2" s="15">
        <v>0</v>
      </c>
      <c r="E2" s="15">
        <v>100</v>
      </c>
      <c r="F2" s="15"/>
    </row>
    <row r="3" spans="1:6" x14ac:dyDescent="0.25">
      <c r="A3" s="16" t="s">
        <v>49</v>
      </c>
      <c r="B3" s="16" t="s">
        <v>14</v>
      </c>
      <c r="C3" s="16" t="s">
        <v>202</v>
      </c>
      <c r="D3" s="16" t="s">
        <v>203</v>
      </c>
      <c r="E3" s="16">
        <f>E2+3</f>
        <v>103</v>
      </c>
      <c r="F3" s="16" t="s">
        <v>204</v>
      </c>
    </row>
    <row r="4" spans="1:6" x14ac:dyDescent="0.25">
      <c r="A4" s="17" t="s">
        <v>205</v>
      </c>
      <c r="B4" s="17" t="s">
        <v>206</v>
      </c>
      <c r="C4" s="17" t="s">
        <v>207</v>
      </c>
      <c r="D4" s="17"/>
      <c r="E4" s="17">
        <f>E3+D4</f>
        <v>103</v>
      </c>
      <c r="F4" s="17"/>
    </row>
    <row r="6" spans="1:6" x14ac:dyDescent="0.25">
      <c r="A6" s="18" t="s">
        <v>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"/>
  <sheetViews>
    <sheetView workbookViewId="0"/>
  </sheetViews>
  <sheetFormatPr baseColWidth="10" defaultColWidth="9.140625" defaultRowHeight="15" x14ac:dyDescent="0.25"/>
  <cols>
    <col min="1" max="1" width="34" customWidth="1"/>
    <col min="2" max="2" width="62" customWidth="1"/>
  </cols>
  <sheetData>
    <row r="1" spans="1:2" ht="21.95" customHeight="1" x14ac:dyDescent="0.25">
      <c r="A1" s="32" t="s">
        <v>209</v>
      </c>
      <c r="B1" s="33"/>
    </row>
    <row r="2" spans="1:2" ht="20.100000000000001" customHeight="1" x14ac:dyDescent="0.25">
      <c r="A2" s="25" t="s">
        <v>210</v>
      </c>
      <c r="B2" s="26"/>
    </row>
    <row r="3" spans="1:2" ht="20.100000000000001" customHeight="1" x14ac:dyDescent="0.25">
      <c r="A3" s="27" t="s">
        <v>211</v>
      </c>
      <c r="B3" s="27" t="s">
        <v>212</v>
      </c>
    </row>
    <row r="4" spans="1:2" ht="20.100000000000001" customHeight="1" x14ac:dyDescent="0.25">
      <c r="A4" s="28" t="s">
        <v>213</v>
      </c>
      <c r="B4" s="28" t="s">
        <v>214</v>
      </c>
    </row>
    <row r="5" spans="1:2" ht="20.100000000000001" customHeight="1" x14ac:dyDescent="0.25">
      <c r="A5" s="27" t="s">
        <v>215</v>
      </c>
      <c r="B5" s="27" t="s">
        <v>216</v>
      </c>
    </row>
    <row r="6" spans="1:2" ht="20.100000000000001" customHeight="1" x14ac:dyDescent="0.25">
      <c r="A6" s="27"/>
      <c r="B6" s="27" t="s">
        <v>217</v>
      </c>
    </row>
    <row r="7" spans="1:2" ht="20.100000000000001" customHeight="1" x14ac:dyDescent="0.25">
      <c r="A7" s="28"/>
      <c r="B7" s="28" t="s">
        <v>218</v>
      </c>
    </row>
    <row r="8" spans="1:2" ht="20.100000000000001" customHeight="1" x14ac:dyDescent="0.25">
      <c r="A8" s="27"/>
      <c r="B8" s="27" t="s">
        <v>219</v>
      </c>
    </row>
    <row r="9" spans="1:2" ht="20.100000000000001" customHeight="1" x14ac:dyDescent="0.25">
      <c r="A9" s="25" t="s">
        <v>220</v>
      </c>
      <c r="B9" s="26"/>
    </row>
    <row r="10" spans="1:2" ht="20.100000000000001" customHeight="1" x14ac:dyDescent="0.25">
      <c r="A10" s="27" t="s">
        <v>221</v>
      </c>
      <c r="B10" s="27" t="s">
        <v>222</v>
      </c>
    </row>
    <row r="11" spans="1:2" ht="20.100000000000001" customHeight="1" x14ac:dyDescent="0.25">
      <c r="A11" s="28" t="s">
        <v>223</v>
      </c>
      <c r="B11" s="28" t="s">
        <v>224</v>
      </c>
    </row>
    <row r="12" spans="1:2" ht="20.100000000000001" customHeight="1" x14ac:dyDescent="0.25">
      <c r="A12" s="25" t="s">
        <v>225</v>
      </c>
      <c r="B12" s="26"/>
    </row>
    <row r="13" spans="1:2" ht="20.100000000000001" customHeight="1" x14ac:dyDescent="0.25">
      <c r="A13" s="27" t="s">
        <v>226</v>
      </c>
      <c r="B13" s="27" t="s">
        <v>227</v>
      </c>
    </row>
    <row r="14" spans="1:2" ht="20.100000000000001" customHeight="1" x14ac:dyDescent="0.25">
      <c r="A14" s="28" t="s">
        <v>228</v>
      </c>
      <c r="B14" s="28" t="s">
        <v>229</v>
      </c>
    </row>
    <row r="15" spans="1:2" ht="20.100000000000001" customHeight="1" x14ac:dyDescent="0.25">
      <c r="A15" s="27" t="s">
        <v>230</v>
      </c>
      <c r="B15" s="27" t="s">
        <v>231</v>
      </c>
    </row>
    <row r="16" spans="1:2" ht="20.100000000000001" customHeight="1" x14ac:dyDescent="0.25">
      <c r="A16" s="28" t="s">
        <v>232</v>
      </c>
      <c r="B16" s="28" t="s">
        <v>233</v>
      </c>
    </row>
    <row r="17" spans="1:2" ht="20.100000000000001" customHeight="1" x14ac:dyDescent="0.25">
      <c r="A17" s="25" t="s">
        <v>234</v>
      </c>
      <c r="B17" s="26"/>
    </row>
    <row r="18" spans="1:2" ht="20.100000000000001" customHeight="1" x14ac:dyDescent="0.25">
      <c r="A18" s="27" t="s">
        <v>235</v>
      </c>
      <c r="B18" s="27" t="s">
        <v>236</v>
      </c>
    </row>
    <row r="19" spans="1:2" ht="20.100000000000001" customHeight="1" x14ac:dyDescent="0.25">
      <c r="A19" s="28" t="s">
        <v>237</v>
      </c>
      <c r="B19" s="28" t="s">
        <v>238</v>
      </c>
    </row>
    <row r="20" spans="1:2" ht="20.100000000000001" customHeight="1" x14ac:dyDescent="0.25">
      <c r="A20" s="27" t="s">
        <v>239</v>
      </c>
      <c r="B20" s="27" t="s">
        <v>240</v>
      </c>
    </row>
    <row r="21" spans="1:2" ht="20.100000000000001" customHeight="1" x14ac:dyDescent="0.25">
      <c r="A21" s="25" t="s">
        <v>241</v>
      </c>
      <c r="B21" s="26"/>
    </row>
    <row r="22" spans="1:2" ht="20.100000000000001" customHeight="1" x14ac:dyDescent="0.25">
      <c r="A22" s="27" t="s">
        <v>242</v>
      </c>
      <c r="B22" s="27" t="s">
        <v>243</v>
      </c>
    </row>
    <row r="23" spans="1:2" ht="20.100000000000001" customHeight="1" x14ac:dyDescent="0.25">
      <c r="A23" s="28" t="s">
        <v>244</v>
      </c>
      <c r="B23" s="28" t="s">
        <v>245</v>
      </c>
    </row>
    <row r="24" spans="1:2" ht="20.100000000000001" customHeight="1" x14ac:dyDescent="0.25">
      <c r="A24" s="29" t="s">
        <v>246</v>
      </c>
      <c r="B24" s="30"/>
    </row>
    <row r="25" spans="1:2" ht="20.100000000000001" customHeight="1" x14ac:dyDescent="0.25">
      <c r="A25" s="31" t="s">
        <v>247</v>
      </c>
      <c r="B25" s="28" t="s">
        <v>248</v>
      </c>
    </row>
    <row r="26" spans="1:2" ht="20.100000000000001" customHeight="1" x14ac:dyDescent="0.25">
      <c r="A26" s="27" t="s">
        <v>0</v>
      </c>
      <c r="B26" s="27" t="s">
        <v>0</v>
      </c>
    </row>
    <row r="27" spans="1:2" ht="20.100000000000001" customHeight="1" x14ac:dyDescent="0.25">
      <c r="A27" s="28" t="s">
        <v>1</v>
      </c>
      <c r="B27" s="28" t="s">
        <v>249</v>
      </c>
    </row>
    <row r="28" spans="1:2" ht="20.100000000000001" customHeight="1" x14ac:dyDescent="0.25">
      <c r="A28" s="27" t="s">
        <v>2</v>
      </c>
      <c r="B28" s="27" t="s">
        <v>250</v>
      </c>
    </row>
    <row r="29" spans="1:2" ht="20.100000000000001" customHeight="1" x14ac:dyDescent="0.25">
      <c r="A29" s="28" t="s">
        <v>3</v>
      </c>
      <c r="B29" s="28" t="s">
        <v>251</v>
      </c>
    </row>
    <row r="30" spans="1:2" ht="20.100000000000001" customHeight="1" x14ac:dyDescent="0.25">
      <c r="A30" s="27" t="s">
        <v>4</v>
      </c>
      <c r="B30" s="27" t="s">
        <v>252</v>
      </c>
    </row>
    <row r="31" spans="1:2" ht="20.100000000000001" customHeight="1" x14ac:dyDescent="0.25">
      <c r="A31" s="28" t="s">
        <v>5</v>
      </c>
      <c r="B31" s="28" t="s">
        <v>253</v>
      </c>
    </row>
    <row r="32" spans="1:2" ht="20.100000000000001" customHeight="1" x14ac:dyDescent="0.25">
      <c r="A32" s="27" t="s">
        <v>6</v>
      </c>
      <c r="B32" s="27" t="s">
        <v>254</v>
      </c>
    </row>
    <row r="33" spans="1:2" ht="20.100000000000001" customHeight="1" x14ac:dyDescent="0.25">
      <c r="A33" s="28" t="s">
        <v>7</v>
      </c>
      <c r="B33" s="28" t="s">
        <v>255</v>
      </c>
    </row>
    <row r="34" spans="1:2" ht="20.100000000000001" customHeight="1" x14ac:dyDescent="0.25">
      <c r="A34" s="27" t="s">
        <v>8</v>
      </c>
      <c r="B34" s="27" t="s">
        <v>256</v>
      </c>
    </row>
    <row r="35" spans="1:2" ht="20.100000000000001" customHeight="1" x14ac:dyDescent="0.25">
      <c r="A35" s="28" t="s">
        <v>9</v>
      </c>
      <c r="B35" s="28" t="s">
        <v>257</v>
      </c>
    </row>
    <row r="36" spans="1:2" ht="20.100000000000001" customHeight="1" x14ac:dyDescent="0.25">
      <c r="A36" s="27" t="s">
        <v>10</v>
      </c>
      <c r="B36" s="27" t="s">
        <v>258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Gantt Import</vt:lpstr>
      <vt:lpstr>Milepæler</vt:lpstr>
      <vt:lpstr>LLI Tracker</vt:lpstr>
      <vt:lpstr>Import instruksjoner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Rune Groedem</cp:lastModifiedBy>
  <dcterms:created xsi:type="dcterms:W3CDTF">2026-02-19T07:31:38Z</dcterms:created>
  <dcterms:modified xsi:type="dcterms:W3CDTF">2026-02-19T09:53:34Z</dcterms:modified>
</cp:coreProperties>
</file>