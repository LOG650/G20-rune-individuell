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rannsr-my.sharepoint.com/personal/yngve_vold_muller_rogbr_no/Documents/Skrivebord/"/>
    </mc:Choice>
  </mc:AlternateContent>
  <xr:revisionPtr revIDLastSave="66" documentId="8_{006BCF51-BA54-4822-A205-44B9C62FE030}" xr6:coauthVersionLast="47" xr6:coauthVersionMax="47" xr10:uidLastSave="{C43591BA-CE6F-4ECC-B6A9-D94D5768543B}"/>
  <bookViews>
    <workbookView xWindow="-108" yWindow="-108" windowWidth="30936" windowHeight="16776" xr2:uid="{00000000-000D-0000-FFFF-FFFF00000000}"/>
  </bookViews>
  <sheets>
    <sheet name="L-aba dybdeanalyse" sheetId="1" r:id="rId1"/>
    <sheet name="Oppsummering" sheetId="2" r:id="rId2"/>
    <sheet name="Instruksj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4" i="1" l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</calcChain>
</file>

<file path=xl/sharedStrings.xml><?xml version="1.0" encoding="utf-8"?>
<sst xmlns="http://schemas.openxmlformats.org/spreadsheetml/2006/main" count="1110" uniqueCount="579">
  <si>
    <t>L-aba dybdeanalyse — 110 Sør-Vest 2025</t>
  </si>
  <si>
    <t>Utvalg på 100 hendelser, stratifisert 8 per måned (8 mnd) + 9 per måned (4 mnd). V3 L-aba: Opprinnelig=ABA, Kilde=Alarm, Oppdragstype='Oppdrag løst av 110', Ressurs varslet tom. Fyll ut tidskolonnene manuelt fra LEO-loggen. Bindingstid beregnes automatisk fra T_alarm_inn → T_operatør_frigjort.</t>
  </si>
  <si>
    <t>Nr</t>
  </si>
  <si>
    <t>Oppdrag ID</t>
  </si>
  <si>
    <t>110 ID</t>
  </si>
  <si>
    <t>Dato</t>
  </si>
  <si>
    <t>Tid anrop (ref)</t>
  </si>
  <si>
    <t>Oppdrag opprettet (ref)</t>
  </si>
  <si>
    <t>Ukedag</t>
  </si>
  <si>
    <t>Helg/Hverdag</t>
  </si>
  <si>
    <t>Kilde</t>
  </si>
  <si>
    <t>Opprinnelig type</t>
  </si>
  <si>
    <t>T_alarm_inn</t>
  </si>
  <si>
    <t>T_nødtelefon_inn</t>
  </si>
  <si>
    <t>T_avklart</t>
  </si>
  <si>
    <t>T_operatør_frigjort</t>
  </si>
  <si>
    <t>Bindingstid (min)</t>
  </si>
  <si>
    <t>Nødtelefon mottatt? (J/N)</t>
  </si>
  <si>
    <t>Kommentar</t>
  </si>
  <si>
    <t>2876208</t>
  </si>
  <si>
    <t>B06-250102-241</t>
  </si>
  <si>
    <t>02.01.2025</t>
  </si>
  <si>
    <t>18:56:25</t>
  </si>
  <si>
    <t>18:56:36</t>
  </si>
  <si>
    <t>Torsdag</t>
  </si>
  <si>
    <t>Hverdag</t>
  </si>
  <si>
    <t>Alarm</t>
  </si>
  <si>
    <t>ABA</t>
  </si>
  <si>
    <t>2884328</t>
  </si>
  <si>
    <t>B06-250108-263</t>
  </si>
  <si>
    <t>08.01.2025</t>
  </si>
  <si>
    <t>22:49:52</t>
  </si>
  <si>
    <t>22:50:14</t>
  </si>
  <si>
    <t>Onsdag</t>
  </si>
  <si>
    <t>2884855</t>
  </si>
  <si>
    <t>B06-250109-83</t>
  </si>
  <si>
    <t>09.01.2025</t>
  </si>
  <si>
    <t>10:10:08</t>
  </si>
  <si>
    <t>10:10:30</t>
  </si>
  <si>
    <t>2889543</t>
  </si>
  <si>
    <t>B06-250113-15</t>
  </si>
  <si>
    <t>13.01.2025</t>
  </si>
  <si>
    <t>01:46:57</t>
  </si>
  <si>
    <t>01:47:13</t>
  </si>
  <si>
    <t>Mandag</t>
  </si>
  <si>
    <t>2895563</t>
  </si>
  <si>
    <t>B06-250116-155</t>
  </si>
  <si>
    <t>16.01.2025</t>
  </si>
  <si>
    <t>13:46:34</t>
  </si>
  <si>
    <t>13:46:39</t>
  </si>
  <si>
    <t>2898564</t>
  </si>
  <si>
    <t>B06-250118-106</t>
  </si>
  <si>
    <t>18.01.2025</t>
  </si>
  <si>
    <t>16:36:29</t>
  </si>
  <si>
    <t>16:36:37</t>
  </si>
  <si>
    <t>Lørdag</t>
  </si>
  <si>
    <t>Helg</t>
  </si>
  <si>
    <t>2912774</t>
  </si>
  <si>
    <t>B06-250129-108</t>
  </si>
  <si>
    <t>29.01.2025</t>
  </si>
  <si>
    <t>12:07:54</t>
  </si>
  <si>
    <t>12:08:15</t>
  </si>
  <si>
    <t>2916193</t>
  </si>
  <si>
    <t>B06-250131-139</t>
  </si>
  <si>
    <t>31.01.2025</t>
  </si>
  <si>
    <t>11:11:19</t>
  </si>
  <si>
    <t>11:11:42</t>
  </si>
  <si>
    <t>Fredag</t>
  </si>
  <si>
    <t>2925727</t>
  </si>
  <si>
    <t>B06-250207-31</t>
  </si>
  <si>
    <t>07.02.2025</t>
  </si>
  <si>
    <t>08:08:14</t>
  </si>
  <si>
    <t>08:08:22</t>
  </si>
  <si>
    <t>2931197</t>
  </si>
  <si>
    <t>B06-250211-150</t>
  </si>
  <si>
    <t>11.02.2025</t>
  </si>
  <si>
    <t>11:48:19</t>
  </si>
  <si>
    <t>11:48:31</t>
  </si>
  <si>
    <t>Tirsdag</t>
  </si>
  <si>
    <t>2932491</t>
  </si>
  <si>
    <t>B06-250212-39</t>
  </si>
  <si>
    <t>12.02.2025</t>
  </si>
  <si>
    <t>08:25:58</t>
  </si>
  <si>
    <t>08:26:14</t>
  </si>
  <si>
    <t>2934353</t>
  </si>
  <si>
    <t>B06-250213-52</t>
  </si>
  <si>
    <t>13.02.2025</t>
  </si>
  <si>
    <t>09:26:51</t>
  </si>
  <si>
    <t>09:28:09</t>
  </si>
  <si>
    <t>2934475</t>
  </si>
  <si>
    <t>B06-250213-75</t>
  </si>
  <si>
    <t>10:09:43</t>
  </si>
  <si>
    <t>10:09:53</t>
  </si>
  <si>
    <t>2936456</t>
  </si>
  <si>
    <t>B06-250214-148</t>
  </si>
  <si>
    <t>14.02.2025</t>
  </si>
  <si>
    <t>11:56:01</t>
  </si>
  <si>
    <t>11:56:28</t>
  </si>
  <si>
    <t>2937213</t>
  </si>
  <si>
    <t>B06-250214-275</t>
  </si>
  <si>
    <t>22:21:44</t>
  </si>
  <si>
    <t>22:21:58</t>
  </si>
  <si>
    <t>2939479</t>
  </si>
  <si>
    <t>B06-250217-54</t>
  </si>
  <si>
    <t>17.02.2025</t>
  </si>
  <si>
    <t>09:10:26</t>
  </si>
  <si>
    <t>2941135</t>
  </si>
  <si>
    <t>B06-250218-52</t>
  </si>
  <si>
    <t>18.02.2025</t>
  </si>
  <si>
    <t>09:20:05</t>
  </si>
  <si>
    <t>09:20:23</t>
  </si>
  <si>
    <t>2964375</t>
  </si>
  <si>
    <t>B06-250305-221</t>
  </si>
  <si>
    <t>05.03.2025</t>
  </si>
  <si>
    <t>15:56:57</t>
  </si>
  <si>
    <t>15:57:06</t>
  </si>
  <si>
    <t>2968643</t>
  </si>
  <si>
    <t>B06-250307-267</t>
  </si>
  <si>
    <t>07.03.2025</t>
  </si>
  <si>
    <t>19:25:11</t>
  </si>
  <si>
    <t>19:25:16</t>
  </si>
  <si>
    <t>2975187</t>
  </si>
  <si>
    <t>B06-250312-90</t>
  </si>
  <si>
    <t>12.03.2025</t>
  </si>
  <si>
    <t>10:15:38</t>
  </si>
  <si>
    <t>10:15:45</t>
  </si>
  <si>
    <t>2979802</t>
  </si>
  <si>
    <t>B06-250314-229</t>
  </si>
  <si>
    <t>14.03.2025</t>
  </si>
  <si>
    <t>17:36:10</t>
  </si>
  <si>
    <t>17:36:20</t>
  </si>
  <si>
    <t>2981200</t>
  </si>
  <si>
    <t>B06-250316-15</t>
  </si>
  <si>
    <t>16.03.2025</t>
  </si>
  <si>
    <t>04:21:21</t>
  </si>
  <si>
    <t>04:21:32</t>
  </si>
  <si>
    <t>Søndag</t>
  </si>
  <si>
    <t>2989199</t>
  </si>
  <si>
    <t>B06-250320-206</t>
  </si>
  <si>
    <t>20.03.2025</t>
  </si>
  <si>
    <t>16:06:45</t>
  </si>
  <si>
    <t>16:06:49</t>
  </si>
  <si>
    <t>2992811</t>
  </si>
  <si>
    <t>B06-250322-199</t>
  </si>
  <si>
    <t>22.03.2025</t>
  </si>
  <si>
    <t>23:16:50</t>
  </si>
  <si>
    <t>23:16:58</t>
  </si>
  <si>
    <t>3004713</t>
  </si>
  <si>
    <t>B06-250330-78</t>
  </si>
  <si>
    <t>30.03.2025</t>
  </si>
  <si>
    <t>17:33:29</t>
  </si>
  <si>
    <t>17:33:37</t>
  </si>
  <si>
    <t>3016487</t>
  </si>
  <si>
    <t>B06-250406-9</t>
  </si>
  <si>
    <t>06.04.2025</t>
  </si>
  <si>
    <t>04:01:39</t>
  </si>
  <si>
    <t>04:01:49</t>
  </si>
  <si>
    <t>3023303</t>
  </si>
  <si>
    <t>B06-250410-11</t>
  </si>
  <si>
    <t>10.04.2025</t>
  </si>
  <si>
    <t>06:16:30</t>
  </si>
  <si>
    <t>06:16:44</t>
  </si>
  <si>
    <t>3028188</t>
  </si>
  <si>
    <t>B06-250412-171</t>
  </si>
  <si>
    <t>12.04.2025</t>
  </si>
  <si>
    <t>20:12:02</t>
  </si>
  <si>
    <t>20:12:06</t>
  </si>
  <si>
    <t>3034862</t>
  </si>
  <si>
    <t>B06-250417-84</t>
  </si>
  <si>
    <t>17.04.2025</t>
  </si>
  <si>
    <t>18:22:37</t>
  </si>
  <si>
    <t>3035094</t>
  </si>
  <si>
    <t>B06-250418-3</t>
  </si>
  <si>
    <t>18.04.2025</t>
  </si>
  <si>
    <t>00:35:40</t>
  </si>
  <si>
    <t>00:35:50</t>
  </si>
  <si>
    <t>3038609</t>
  </si>
  <si>
    <t>B06-250421-103</t>
  </si>
  <si>
    <t>21.04.2025</t>
  </si>
  <si>
    <t>22:59:20</t>
  </si>
  <si>
    <t>22:59:24</t>
  </si>
  <si>
    <t>3048956</t>
  </si>
  <si>
    <t>B06-250428-109</t>
  </si>
  <si>
    <t>28.04.2025</t>
  </si>
  <si>
    <t>12:16:48</t>
  </si>
  <si>
    <t>12:17:10</t>
  </si>
  <si>
    <t>3053313</t>
  </si>
  <si>
    <t>B06-250430-210</t>
  </si>
  <si>
    <t>30.04.2025</t>
  </si>
  <si>
    <t>13:58:08</t>
  </si>
  <si>
    <t>13:58:21</t>
  </si>
  <si>
    <t>3067678</t>
  </si>
  <si>
    <t>B06-250509-179</t>
  </si>
  <si>
    <t>09.05.2025</t>
  </si>
  <si>
    <t>14:22:36</t>
  </si>
  <si>
    <t>14:22:43</t>
  </si>
  <si>
    <t>3072235</t>
  </si>
  <si>
    <t>B06-250512-248</t>
  </si>
  <si>
    <t>12.05.2025</t>
  </si>
  <si>
    <t>19:43:13</t>
  </si>
  <si>
    <t>19:43:22</t>
  </si>
  <si>
    <t>3076920</t>
  </si>
  <si>
    <t>B06-250515-63</t>
  </si>
  <si>
    <t>15.05.2025</t>
  </si>
  <si>
    <t>08:40:45</t>
  </si>
  <si>
    <t>08:40:51</t>
  </si>
  <si>
    <t>3077299</t>
  </si>
  <si>
    <t>B06-250515-122</t>
  </si>
  <si>
    <t>10:44:36</t>
  </si>
  <si>
    <t>10:44:42</t>
  </si>
  <si>
    <t>3078172</t>
  </si>
  <si>
    <t>B06-250515-215</t>
  </si>
  <si>
    <t>16:48:50</t>
  </si>
  <si>
    <t>16:48:55</t>
  </si>
  <si>
    <t>3080800</t>
  </si>
  <si>
    <t>B06-250517-47</t>
  </si>
  <si>
    <t>17.05.2025</t>
  </si>
  <si>
    <t>13:04:55</t>
  </si>
  <si>
    <t>13:05:01</t>
  </si>
  <si>
    <t>3090405</t>
  </si>
  <si>
    <t>B06-250522-308</t>
  </si>
  <si>
    <t>22.05.2025</t>
  </si>
  <si>
    <t>19:26:54</t>
  </si>
  <si>
    <t>19:27:02</t>
  </si>
  <si>
    <t>3094848</t>
  </si>
  <si>
    <t>B06-250526-42</t>
  </si>
  <si>
    <t>26.05.2025</t>
  </si>
  <si>
    <t>08:51:35</t>
  </si>
  <si>
    <t>08:51:42</t>
  </si>
  <si>
    <t>3106780</t>
  </si>
  <si>
    <t>B06-250602-250</t>
  </si>
  <si>
    <t>02.06.2025</t>
  </si>
  <si>
    <t>19:39:27</t>
  </si>
  <si>
    <t>19:39:34</t>
  </si>
  <si>
    <t>3112652</t>
  </si>
  <si>
    <t>B06-250605-249</t>
  </si>
  <si>
    <t>05.06.2025</t>
  </si>
  <si>
    <t>15:55:27</t>
  </si>
  <si>
    <t>15:55:35</t>
  </si>
  <si>
    <t>3118747</t>
  </si>
  <si>
    <t>B06-250610-112</t>
  </si>
  <si>
    <t>10.06.2025</t>
  </si>
  <si>
    <t>11:58:10</t>
  </si>
  <si>
    <t>11:58:19</t>
  </si>
  <si>
    <t>3119352</t>
  </si>
  <si>
    <t>B06-250610-182</t>
  </si>
  <si>
    <t>15:50:53</t>
  </si>
  <si>
    <t>15:51:06</t>
  </si>
  <si>
    <t>3123646</t>
  </si>
  <si>
    <t>B06-250612-236</t>
  </si>
  <si>
    <t>12.06.2025</t>
  </si>
  <si>
    <t>18:52:03</t>
  </si>
  <si>
    <t>18:52:14</t>
  </si>
  <si>
    <t>3125518</t>
  </si>
  <si>
    <t>B06-250613-250</t>
  </si>
  <si>
    <t>13.06.2025</t>
  </si>
  <si>
    <t>20:24:44</t>
  </si>
  <si>
    <t>20:25:53</t>
  </si>
  <si>
    <t>3148318</t>
  </si>
  <si>
    <t>B06-250627-165</t>
  </si>
  <si>
    <t>27.06.2025</t>
  </si>
  <si>
    <t>12:35:45</t>
  </si>
  <si>
    <t>12:35:53</t>
  </si>
  <si>
    <t>3149310</t>
  </si>
  <si>
    <t>B06-250628-7</t>
  </si>
  <si>
    <t>28.06.2025</t>
  </si>
  <si>
    <t>03:06:44</t>
  </si>
  <si>
    <t>03:07:20</t>
  </si>
  <si>
    <t>3151588</t>
  </si>
  <si>
    <t>B06-250629-144</t>
  </si>
  <si>
    <t>29.06.2025</t>
  </si>
  <si>
    <t>19:50:45</t>
  </si>
  <si>
    <t>19:51:07</t>
  </si>
  <si>
    <t>3162313</t>
  </si>
  <si>
    <t>B06-250706-33</t>
  </si>
  <si>
    <t>06.07.2025</t>
  </si>
  <si>
    <t>12:11:26</t>
  </si>
  <si>
    <t>12:11:34</t>
  </si>
  <si>
    <t>3164425</t>
  </si>
  <si>
    <t>B06-250707-210</t>
  </si>
  <si>
    <t>07.07.2025</t>
  </si>
  <si>
    <t>23:14:17</t>
  </si>
  <si>
    <t>23:14:24</t>
  </si>
  <si>
    <t>3171586</t>
  </si>
  <si>
    <t>B06-250712-115</t>
  </si>
  <si>
    <t>12.07.2025</t>
  </si>
  <si>
    <t>16:38:48</t>
  </si>
  <si>
    <t>16:39:00</t>
  </si>
  <si>
    <t>3179911</t>
  </si>
  <si>
    <t>B06-250717-172</t>
  </si>
  <si>
    <t>17.07.2025</t>
  </si>
  <si>
    <t>19:53:53</t>
  </si>
  <si>
    <t>19:53:58</t>
  </si>
  <si>
    <t>3188412</t>
  </si>
  <si>
    <t>B06-250723-66</t>
  </si>
  <si>
    <t>23.07.2025</t>
  </si>
  <si>
    <t>11:08:56</t>
  </si>
  <si>
    <t>11:09:02</t>
  </si>
  <si>
    <t>3191064</t>
  </si>
  <si>
    <t>B06-250724-210</t>
  </si>
  <si>
    <t>24.07.2025</t>
  </si>
  <si>
    <t>20:09:14</t>
  </si>
  <si>
    <t>20:09:24</t>
  </si>
  <si>
    <t>3193293</t>
  </si>
  <si>
    <t>B06-250726-45</t>
  </si>
  <si>
    <t>26.07.2025</t>
  </si>
  <si>
    <t>14:30:00</t>
  </si>
  <si>
    <t>14:30:05</t>
  </si>
  <si>
    <t>3194641</t>
  </si>
  <si>
    <t>B06-250727-76</t>
  </si>
  <si>
    <t>27.07.2025</t>
  </si>
  <si>
    <t>18:23:57</t>
  </si>
  <si>
    <t>18:24:03</t>
  </si>
  <si>
    <t>3199573</t>
  </si>
  <si>
    <t>B06-250731-65</t>
  </si>
  <si>
    <t>31.07.2025</t>
  </si>
  <si>
    <t>09:19:46</t>
  </si>
  <si>
    <t>09:19:52</t>
  </si>
  <si>
    <t>3207183</t>
  </si>
  <si>
    <t>B06-250805-154</t>
  </si>
  <si>
    <t>05.08.2025</t>
  </si>
  <si>
    <t>12:51:11</t>
  </si>
  <si>
    <t>12:51:15</t>
  </si>
  <si>
    <t>3211220</t>
  </si>
  <si>
    <t>B06-250808-1</t>
  </si>
  <si>
    <t>08.08.2025</t>
  </si>
  <si>
    <t>00:05:08</t>
  </si>
  <si>
    <t>00:05:15</t>
  </si>
  <si>
    <t>3211259</t>
  </si>
  <si>
    <t>B06-250808-8</t>
  </si>
  <si>
    <t>01:57:11</t>
  </si>
  <si>
    <t>01:57:18</t>
  </si>
  <si>
    <t>3223016</t>
  </si>
  <si>
    <t>B06-250815-182</t>
  </si>
  <si>
    <t>15.08.2025</t>
  </si>
  <si>
    <t>13:26:54</t>
  </si>
  <si>
    <t>13:27:00</t>
  </si>
  <si>
    <t>3231640</t>
  </si>
  <si>
    <t>B06-250821-62</t>
  </si>
  <si>
    <t>21.08.2025</t>
  </si>
  <si>
    <t>09:52:00</t>
  </si>
  <si>
    <t>09:52:33</t>
  </si>
  <si>
    <t>3231574</t>
  </si>
  <si>
    <t>B06-250821-52</t>
  </si>
  <si>
    <t>09:27:43</t>
  </si>
  <si>
    <t>09:27:50</t>
  </si>
  <si>
    <t>3232246</t>
  </si>
  <si>
    <t>B06-250821-143</t>
  </si>
  <si>
    <t>13:45:15</t>
  </si>
  <si>
    <t>13:45:22</t>
  </si>
  <si>
    <t>3234543</t>
  </si>
  <si>
    <t>B06-250822-264</t>
  </si>
  <si>
    <t>22.08.2025</t>
  </si>
  <si>
    <t>19:36:25</t>
  </si>
  <si>
    <t>19:36:28</t>
  </si>
  <si>
    <t>3242386</t>
  </si>
  <si>
    <t>B06-250827-256</t>
  </si>
  <si>
    <t>27.08.2025</t>
  </si>
  <si>
    <t>21:18:27</t>
  </si>
  <si>
    <t>21:18:44</t>
  </si>
  <si>
    <t>3259083</t>
  </si>
  <si>
    <t>B06-250906-38</t>
  </si>
  <si>
    <t>06.09.2025</t>
  </si>
  <si>
    <t>13:09:42</t>
  </si>
  <si>
    <t>13:09:49</t>
  </si>
  <si>
    <t>3261902</t>
  </si>
  <si>
    <t>B06-250908-129</t>
  </si>
  <si>
    <t>08.09.2025</t>
  </si>
  <si>
    <t>13:18:59</t>
  </si>
  <si>
    <t>13:19:07</t>
  </si>
  <si>
    <t>3266886</t>
  </si>
  <si>
    <t>B06-250911-27</t>
  </si>
  <si>
    <t>11.09.2025</t>
  </si>
  <si>
    <t>06:41:56</t>
  </si>
  <si>
    <t>06:42:06</t>
  </si>
  <si>
    <t>3273868</t>
  </si>
  <si>
    <t>B06-250915-111</t>
  </si>
  <si>
    <t>15.09.2025</t>
  </si>
  <si>
    <t>10:02:05</t>
  </si>
  <si>
    <t>10:02:13</t>
  </si>
  <si>
    <t>3274068</t>
  </si>
  <si>
    <t>B06-250915-138</t>
  </si>
  <si>
    <t>11:00:42</t>
  </si>
  <si>
    <t>11:00:51</t>
  </si>
  <si>
    <t>3277473</t>
  </si>
  <si>
    <t>B06-250916-302</t>
  </si>
  <si>
    <t>16.09.2025</t>
  </si>
  <si>
    <t>15:35:03</t>
  </si>
  <si>
    <t>15:35:06</t>
  </si>
  <si>
    <t>3279881</t>
  </si>
  <si>
    <t>B06-250917-239</t>
  </si>
  <si>
    <t>17.09.2025</t>
  </si>
  <si>
    <t>13:29:27</t>
  </si>
  <si>
    <t>13:29:35</t>
  </si>
  <si>
    <t>3289708</t>
  </si>
  <si>
    <t>B06-250922-103</t>
  </si>
  <si>
    <t>22.09.2025</t>
  </si>
  <si>
    <t>12:02:38</t>
  </si>
  <si>
    <t>12:02:45</t>
  </si>
  <si>
    <t>3317634</t>
  </si>
  <si>
    <t>B06-251005-55</t>
  </si>
  <si>
    <t>05.10.2025</t>
  </si>
  <si>
    <t>11:03:28</t>
  </si>
  <si>
    <t>11:03:33</t>
  </si>
  <si>
    <t>3329415</t>
  </si>
  <si>
    <t>B06-251011-83</t>
  </si>
  <si>
    <t>11.10.2025</t>
  </si>
  <si>
    <t>16:37:54</t>
  </si>
  <si>
    <t>16:38:00</t>
  </si>
  <si>
    <t>3330329</t>
  </si>
  <si>
    <t>B06-251012-55</t>
  </si>
  <si>
    <t>12.10.2025</t>
  </si>
  <si>
    <t>14:52:56</t>
  </si>
  <si>
    <t>14:53:01</t>
  </si>
  <si>
    <t>3346115</t>
  </si>
  <si>
    <t>B06-251021-190</t>
  </si>
  <si>
    <t>21.10.2025</t>
  </si>
  <si>
    <t>16:10:35</t>
  </si>
  <si>
    <t>16:10:47</t>
  </si>
  <si>
    <t>3348173</t>
  </si>
  <si>
    <t>B06-251022-156</t>
  </si>
  <si>
    <t>22.10.2025</t>
  </si>
  <si>
    <t>16:56:34</t>
  </si>
  <si>
    <t>16:56:42</t>
  </si>
  <si>
    <t>3356215</t>
  </si>
  <si>
    <t>B06-251027-190</t>
  </si>
  <si>
    <t>27.10.2025</t>
  </si>
  <si>
    <t>16:26:38</t>
  </si>
  <si>
    <t>16:26:47</t>
  </si>
  <si>
    <t>3356741</t>
  </si>
  <si>
    <t>B06-251028-17</t>
  </si>
  <si>
    <t>28.10.2025</t>
  </si>
  <si>
    <t>07:04:44</t>
  </si>
  <si>
    <t>07:04:50</t>
  </si>
  <si>
    <t>3357553</t>
  </si>
  <si>
    <t>B06-251028-114</t>
  </si>
  <si>
    <t>11:49:31</t>
  </si>
  <si>
    <t>11:50:04</t>
  </si>
  <si>
    <t>3366695</t>
  </si>
  <si>
    <t>B06-251103-1</t>
  </si>
  <si>
    <t>03.11.2025</t>
  </si>
  <si>
    <t>00:26:26</t>
  </si>
  <si>
    <t>00:26:34</t>
  </si>
  <si>
    <t>3370170</t>
  </si>
  <si>
    <t>B06-251104-189</t>
  </si>
  <si>
    <t>04.11.2025</t>
  </si>
  <si>
    <t>14:04:17</t>
  </si>
  <si>
    <t>14:04:25</t>
  </si>
  <si>
    <t>3370736</t>
  </si>
  <si>
    <t>B06-251104-248</t>
  </si>
  <si>
    <t>20:02:05</t>
  </si>
  <si>
    <t>20:02:10</t>
  </si>
  <si>
    <t>3383072</t>
  </si>
  <si>
    <t>B06-251112-45</t>
  </si>
  <si>
    <t>12.11.2025</t>
  </si>
  <si>
    <t>08:53:53</t>
  </si>
  <si>
    <t>08:54:02</t>
  </si>
  <si>
    <t>3389139</t>
  </si>
  <si>
    <t>B06-251115-66</t>
  </si>
  <si>
    <t>15.11.2025</t>
  </si>
  <si>
    <t>14:19:10</t>
  </si>
  <si>
    <t>14:19:16</t>
  </si>
  <si>
    <t>3396530</t>
  </si>
  <si>
    <t>B06-251120-2</t>
  </si>
  <si>
    <t>20.11.2025</t>
  </si>
  <si>
    <t>00:28:22</t>
  </si>
  <si>
    <t>00:28:27</t>
  </si>
  <si>
    <t>3401469</t>
  </si>
  <si>
    <t>B06-251122-118</t>
  </si>
  <si>
    <t>22.11.2025</t>
  </si>
  <si>
    <t>21:07:41</t>
  </si>
  <si>
    <t>21:07:45</t>
  </si>
  <si>
    <t>3407371</t>
  </si>
  <si>
    <t>B06-251126-137</t>
  </si>
  <si>
    <t>26.11.2025</t>
  </si>
  <si>
    <t>13:26:12</t>
  </si>
  <si>
    <t>13:26:18</t>
  </si>
  <si>
    <t>3420233</t>
  </si>
  <si>
    <t>B06-251203-276</t>
  </si>
  <si>
    <t>03.12.2025</t>
  </si>
  <si>
    <t>19:33:32</t>
  </si>
  <si>
    <t>19:33:37</t>
  </si>
  <si>
    <t>3430280</t>
  </si>
  <si>
    <t>B06-251210-68</t>
  </si>
  <si>
    <t>10.12.2025</t>
  </si>
  <si>
    <t>09:20:20</t>
  </si>
  <si>
    <t>09:20:27</t>
  </si>
  <si>
    <t>3431823</t>
  </si>
  <si>
    <t>B06-251211-7</t>
  </si>
  <si>
    <t>11.12.2025</t>
  </si>
  <si>
    <t>01:17:48</t>
  </si>
  <si>
    <t>01:17:57</t>
  </si>
  <si>
    <t>3440420</t>
  </si>
  <si>
    <t>B06-251216-184</t>
  </si>
  <si>
    <t>16.12.2025</t>
  </si>
  <si>
    <t>13:26:38</t>
  </si>
  <si>
    <t>13:27:04</t>
  </si>
  <si>
    <t>3446620</t>
  </si>
  <si>
    <t>B06-251219-251</t>
  </si>
  <si>
    <t>19.12.2025</t>
  </si>
  <si>
    <t>20:29:24</t>
  </si>
  <si>
    <t>20:29:28</t>
  </si>
  <si>
    <t>3448316</t>
  </si>
  <si>
    <t>B06-251221-91</t>
  </si>
  <si>
    <t>21.12.2025</t>
  </si>
  <si>
    <t>16:02:20</t>
  </si>
  <si>
    <t>16:02:28</t>
  </si>
  <si>
    <t>3453335</t>
  </si>
  <si>
    <t>B06-251226-39</t>
  </si>
  <si>
    <t>26.12.2025</t>
  </si>
  <si>
    <t>12:19:07</t>
  </si>
  <si>
    <t>12:19:35</t>
  </si>
  <si>
    <t>3456598</t>
  </si>
  <si>
    <t>B06-251229-85</t>
  </si>
  <si>
    <t>29.12.2025</t>
  </si>
  <si>
    <t>12:22:53</t>
  </si>
  <si>
    <t>12:23:00</t>
  </si>
  <si>
    <t>Oppsummering L-aba dybdeanalyse — 110 Sør-Vest 2025</t>
  </si>
  <si>
    <t>Populasjon (L-aba Sør-Vest 2025):</t>
  </si>
  <si>
    <t>Utvalgsstørrelse:</t>
  </si>
  <si>
    <t>Utvalgsandel:</t>
  </si>
  <si>
    <t>2.92%</t>
  </si>
  <si>
    <t>Fordeling per måned:</t>
  </si>
  <si>
    <t>Måned</t>
  </si>
  <si>
    <t>Populasjon</t>
  </si>
  <si>
    <t>Utvalg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</si>
  <si>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</si>
  <si>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</si>
  <si>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</si>
  <si>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</si>
  <si>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</si>
  <si>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</si>
  <si>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</si>
  <si>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</si>
  <si>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</si>
  <si>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</si>
  <si>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</si>
  <si>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</si>
  <si>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Reproduserbarhet:</t>
  </si>
  <si>
    <t>Random seed: 20260419</t>
  </si>
  <si>
    <t>Måneder med 9 hendelser: Feb, Jun, Jul, Aug</t>
  </si>
  <si>
    <t>Instruksjon for manuell utfylling</t>
  </si>
  <si>
    <t>Formål:</t>
  </si>
  <si>
    <t>Kvantifisere faktisk operatørbindingstid for L-aba-hendelser (ABA løst av 110 uten utrykning) ved 110 Sør-Vest. Resultatet brukes til å validere eller justere bindingstidsestimatet på 3 min som ligger i kapasitetsmodellen.</t>
  </si>
  <si>
    <t>For hver hendelse i hoved-arket:</t>
  </si>
  <si>
    <t>1. Åpne hendelsen i LEO (bruk 110 ID for å finne den raskt).</t>
  </si>
  <si>
    <t>2. Fyll inn tidspunkter som klokkeslett (hh:mm:ss):</t>
  </si>
  <si>
    <t xml:space="preserve">   • T_alarm_inn — når ABA-signalet mottas i LEO</t>
  </si>
  <si>
    <t xml:space="preserve">   • T_nødtelefon_inn — når eventuell nødtelefon fra stedet besvares (90-sek-regel)</t>
  </si>
  <si>
    <t xml:space="preserve">   • T_avklart — når operatøren bekrefter ufarlig årsak (matlaging, damp, service mm.)</t>
  </si>
  <si>
    <t xml:space="preserve">   • T_operatør_frigjort — når oppdraget lukkes og operatør er tilgjengelig for neste</t>
  </si>
  <si>
    <t>3. Merk J/N om nødtelefon faktisk kom innen 90 sek.</t>
  </si>
  <si>
    <t>4. Bindingstid beregnes automatisk fra T_alarm_inn til T_operatør_frigjort.</t>
  </si>
  <si>
    <t>5. Bruk kommentarfeltet til observasjoner som kan forklare avvik (f.eks. samtidige hendelser, innringer som nekter, tvil om kategorisering).</t>
  </si>
  <si>
    <t>Merk:</t>
  </si>
  <si>
    <t>• Hvis hendelsen ikke matcher L-aba-definisjonen (ABA som lukkes uten utrykning), noter det i kommentar — vi vil se på klassifiseringsfeil.</t>
  </si>
  <si>
    <t>• Presisjon på sekund-nivå er ikke nødvendig; minutt-nivå er godt nok for analysen.</t>
  </si>
  <si>
    <t>• Returner arket ferdig utfylt til rune.grodemm@himolde.no.</t>
  </si>
  <si>
    <t>J</t>
  </si>
  <si>
    <t>Privatkunde, ikke tilkoblet 110, ingenting i loggen</t>
  </si>
  <si>
    <t>Soma Rusvern, lite loggføring</t>
  </si>
  <si>
    <t>N</t>
  </si>
  <si>
    <t>Mangelfull loggføring</t>
  </si>
  <si>
    <t>Nøkkelsafe - ringt kontaktperson</t>
  </si>
  <si>
    <t>Ingen nødtelefon lagt til, mangelfull loggføring</t>
  </si>
  <si>
    <t>Varmekamera i Egersund</t>
  </si>
  <si>
    <t>Nøkkelsafe flettet inn i annet oppdrag</t>
  </si>
  <si>
    <t xml:space="preserve">Varmekamera i Stavanger </t>
  </si>
  <si>
    <t>RackIT kunde</t>
  </si>
  <si>
    <t>Testing av brannsentral</t>
  </si>
  <si>
    <t>Operatør har kontaktet P06 - mangelfull logg (dette er på politistasjon)</t>
  </si>
  <si>
    <t>Ingen loggføring</t>
  </si>
  <si>
    <t>Nødanrop ikke lagt til - baserer tid på første logglinje</t>
  </si>
  <si>
    <t>Ikke nødtelefon - mangelfull loggføring</t>
  </si>
  <si>
    <t>Feilrevidert</t>
  </si>
  <si>
    <t>Operatør ringt KP - nøkkelsafe</t>
  </si>
  <si>
    <t>Dette er en øvelse</t>
  </si>
  <si>
    <t>Ingen loggføring i det hele tatt</t>
  </si>
  <si>
    <t>Uvist tidspunkt på nødanrop da dette ikke er lagt 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</si>
</sst>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A3A5C"/>
      <name val="Calibri"/>
    </font>
    <font>
      <i/>
      <sz val="10"/>
      <color rgb="FF555555"/>
      <name val="Calibri"/>
    </font>
    <font>
      <b/>
      <sz val="10"/>
      <color rgb="FFFFFFFF"/>
      <name val="Calibri"/>
    </font>
    <font>
      <sz val="10"/>
      <name val="Calibri"/>
    </font>
    <font>
      <b/>
      <sz val="13"/>
      <color rgb="FF1A3A5C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A5A80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21" fontId="4" fillId="0" borderId="2" xfId="0" applyNumberFormat="1" applyFont="1" applyBorder="1" applyAlignment="1">
      <alignment vertical="center"/>
    </xf>
    <xf numFmtId="2" fontId="4" fillId="0" borderId="2" xfId="0" applyNumberFormat="1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21" fontId="4" fillId="3" borderId="2" xfId="0" applyNumberFormat="1" applyFont="1" applyFill="1" applyBorder="1" applyAlignment="1">
      <alignment vertical="center"/>
    </xf>
    <xf numFmtId="2" fontId="4" fillId="3" borderId="2" xfId="0" applyNumberFormat="1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Q10" sqref="Q10"/>
    </sheetView>
  </sheetViews>
  <sheetFormatPr baseColWidth="10" defaultColWidth="8.88671875" defaultRowHeight="14.4" x14ac:dyDescent="0.3"/>
  <cols>
    <col min="1" max="1" width="5" customWidth="1"/>
    <col min="2" max="2" width="12" customWidth="1"/>
    <col min="3" max="3" width="16" customWidth="1"/>
    <col min="4" max="4" width="11" customWidth="1"/>
    <col min="5" max="5" width="14" customWidth="1"/>
    <col min="6" max="6" width="20" customWidth="1"/>
    <col min="7" max="7" width="10" customWidth="1"/>
    <col min="8" max="8" width="12" customWidth="1"/>
    <col min="9" max="9" width="10" customWidth="1"/>
    <col min="10" max="10" width="14" customWidth="1"/>
    <col min="11" max="11" width="13" customWidth="1"/>
    <col min="12" max="12" width="16" customWidth="1"/>
    <col min="13" max="13" width="13" customWidth="1"/>
    <col min="14" max="15" width="16" customWidth="1"/>
    <col min="16" max="16" width="20" customWidth="1"/>
    <col min="17" max="17" width="40" customWidth="1"/>
  </cols>
  <sheetData>
    <row r="1" spans="1:17" ht="18" x14ac:dyDescent="0.3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1.95" customHeigh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4" spans="1:17" ht="37.950000000000003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x14ac:dyDescent="0.3">
      <c r="A5" s="2">
        <v>1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3">
        <v>0.78917824074074072</v>
      </c>
      <c r="L5" s="3">
        <v>0.78917824074074072</v>
      </c>
      <c r="M5" s="3"/>
      <c r="N5" s="3">
        <v>0.78990740740740739</v>
      </c>
      <c r="O5" s="4">
        <f t="shared" ref="O5:O36" si="0">IF(AND(ISNUMBER(K5),ISNUMBER(N5)),(N5-K5)*1440,"")</f>
        <v>1.0500000000000043</v>
      </c>
      <c r="P5" s="2" t="s">
        <v>558</v>
      </c>
      <c r="Q5" s="2" t="s">
        <v>559</v>
      </c>
    </row>
    <row r="6" spans="1:17" x14ac:dyDescent="0.3">
      <c r="A6" s="5">
        <v>2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25</v>
      </c>
      <c r="I6" s="5" t="s">
        <v>26</v>
      </c>
      <c r="J6" s="5" t="s">
        <v>27</v>
      </c>
      <c r="K6" s="6">
        <v>0.95112268518518517</v>
      </c>
      <c r="L6" s="6">
        <v>0.95190972222222225</v>
      </c>
      <c r="M6" s="6"/>
      <c r="N6" s="6">
        <v>0.95768518518518519</v>
      </c>
      <c r="O6" s="7">
        <f t="shared" si="0"/>
        <v>9.4500000000000384</v>
      </c>
      <c r="P6" s="5" t="s">
        <v>558</v>
      </c>
      <c r="Q6" s="5"/>
    </row>
    <row r="7" spans="1:17" x14ac:dyDescent="0.3">
      <c r="A7" s="2">
        <v>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24</v>
      </c>
      <c r="H7" s="2" t="s">
        <v>25</v>
      </c>
      <c r="I7" s="2" t="s">
        <v>26</v>
      </c>
      <c r="J7" s="2" t="s">
        <v>27</v>
      </c>
      <c r="K7" s="3">
        <v>0.42343750000000002</v>
      </c>
      <c r="L7" s="3">
        <v>0.42388888888888887</v>
      </c>
      <c r="M7" s="3"/>
      <c r="N7" s="3">
        <v>0.42505787037037035</v>
      </c>
      <c r="O7" s="4">
        <f t="shared" si="0"/>
        <v>2.3333333333332718</v>
      </c>
      <c r="P7" s="2" t="s">
        <v>558</v>
      </c>
      <c r="Q7" s="2"/>
    </row>
    <row r="8" spans="1:17" x14ac:dyDescent="0.3">
      <c r="A8" s="5">
        <v>4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44</v>
      </c>
      <c r="H8" s="5" t="s">
        <v>25</v>
      </c>
      <c r="I8" s="5" t="s">
        <v>26</v>
      </c>
      <c r="J8" s="5" t="s">
        <v>27</v>
      </c>
      <c r="K8" s="6">
        <v>7.407407407407407E-2</v>
      </c>
      <c r="L8" s="6">
        <v>7.4270833333333328E-2</v>
      </c>
      <c r="M8" s="6"/>
      <c r="N8" s="6">
        <v>7.4837962962962967E-2</v>
      </c>
      <c r="O8" s="7">
        <f t="shared" si="0"/>
        <v>1.1000000000000121</v>
      </c>
      <c r="P8" s="5" t="s">
        <v>558</v>
      </c>
      <c r="Q8" s="5" t="s">
        <v>560</v>
      </c>
    </row>
    <row r="9" spans="1:17" x14ac:dyDescent="0.3">
      <c r="A9" s="2">
        <v>5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24</v>
      </c>
      <c r="H9" s="2" t="s">
        <v>25</v>
      </c>
      <c r="I9" s="2" t="s">
        <v>26</v>
      </c>
      <c r="J9" s="2" t="s">
        <v>27</v>
      </c>
      <c r="K9" s="3">
        <v>0.57378472222222221</v>
      </c>
      <c r="L9" s="3">
        <v>0.57609953703703709</v>
      </c>
      <c r="M9" s="3"/>
      <c r="N9" s="3">
        <v>0.5761574074074074</v>
      </c>
      <c r="O9" s="4">
        <f t="shared" si="0"/>
        <v>3.4166666666666679</v>
      </c>
      <c r="P9" s="2" t="s">
        <v>558</v>
      </c>
      <c r="Q9" s="2" t="s">
        <v>578</v>
      </c>
    </row>
    <row r="10" spans="1:17" x14ac:dyDescent="0.3">
      <c r="A10" s="5">
        <v>6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  <c r="G10" s="5" t="s">
        <v>55</v>
      </c>
      <c r="H10" s="5" t="s">
        <v>56</v>
      </c>
      <c r="I10" s="5" t="s">
        <v>26</v>
      </c>
      <c r="J10" s="5" t="s">
        <v>27</v>
      </c>
      <c r="K10" s="6">
        <v>0.69182870370370375</v>
      </c>
      <c r="L10" s="6">
        <v>0.69254629629629627</v>
      </c>
      <c r="M10" s="6"/>
      <c r="N10" s="6">
        <v>0.6943287037037037</v>
      </c>
      <c r="O10" s="7">
        <f t="shared" si="0"/>
        <v>3.5999999999999233</v>
      </c>
      <c r="P10" s="5" t="s">
        <v>558</v>
      </c>
      <c r="Q10" s="5"/>
    </row>
    <row r="11" spans="1:17" x14ac:dyDescent="0.3">
      <c r="A11" s="2">
        <v>7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33</v>
      </c>
      <c r="H11" s="2" t="s">
        <v>25</v>
      </c>
      <c r="I11" s="2" t="s">
        <v>26</v>
      </c>
      <c r="J11" s="2" t="s">
        <v>27</v>
      </c>
      <c r="K11" s="3">
        <v>0.50516203703703699</v>
      </c>
      <c r="L11" s="3">
        <v>0.50548611111111108</v>
      </c>
      <c r="M11" s="3"/>
      <c r="N11" s="3">
        <v>0.50695601851851857</v>
      </c>
      <c r="O11" s="4">
        <f t="shared" si="0"/>
        <v>2.5833333333334707</v>
      </c>
      <c r="P11" s="2" t="s">
        <v>558</v>
      </c>
      <c r="Q11" s="2"/>
    </row>
    <row r="12" spans="1:17" x14ac:dyDescent="0.3">
      <c r="A12" s="5">
        <v>8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  <c r="G12" s="5" t="s">
        <v>67</v>
      </c>
      <c r="H12" s="5" t="s">
        <v>25</v>
      </c>
      <c r="I12" s="5" t="s">
        <v>26</v>
      </c>
      <c r="J12" s="5" t="s">
        <v>27</v>
      </c>
      <c r="K12" s="6">
        <v>0.46589120370370368</v>
      </c>
      <c r="L12" s="6">
        <v>0.46653935185185186</v>
      </c>
      <c r="M12" s="6"/>
      <c r="N12" s="6">
        <v>0.46728009259259257</v>
      </c>
      <c r="O12" s="7">
        <f t="shared" si="0"/>
        <v>1.9999999999999929</v>
      </c>
      <c r="P12" s="5" t="s">
        <v>558</v>
      </c>
      <c r="Q12" s="5" t="s">
        <v>562</v>
      </c>
    </row>
    <row r="13" spans="1:17" x14ac:dyDescent="0.3">
      <c r="A13" s="2">
        <v>9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67</v>
      </c>
      <c r="H13" s="2" t="s">
        <v>25</v>
      </c>
      <c r="I13" s="2" t="s">
        <v>26</v>
      </c>
      <c r="J13" s="2" t="s">
        <v>27</v>
      </c>
      <c r="K13" s="3">
        <v>0.33879629629629632</v>
      </c>
      <c r="L13" s="3">
        <v>0.33959490740740739</v>
      </c>
      <c r="M13" s="3"/>
      <c r="N13" s="3">
        <v>0.3414699074074074</v>
      </c>
      <c r="O13" s="4">
        <f t="shared" si="0"/>
        <v>3.8499999999999623</v>
      </c>
      <c r="P13" s="2" t="s">
        <v>558</v>
      </c>
      <c r="Q13" s="2" t="s">
        <v>562</v>
      </c>
    </row>
    <row r="14" spans="1:17" x14ac:dyDescent="0.3">
      <c r="A14" s="5">
        <v>10</v>
      </c>
      <c r="B14" s="5" t="s">
        <v>73</v>
      </c>
      <c r="C14" s="5" t="s">
        <v>74</v>
      </c>
      <c r="D14" s="5" t="s">
        <v>75</v>
      </c>
      <c r="E14" s="5" t="s">
        <v>76</v>
      </c>
      <c r="F14" s="5" t="s">
        <v>77</v>
      </c>
      <c r="G14" s="5" t="s">
        <v>78</v>
      </c>
      <c r="H14" s="5" t="s">
        <v>25</v>
      </c>
      <c r="I14" s="5" t="s">
        <v>26</v>
      </c>
      <c r="J14" s="5" t="s">
        <v>27</v>
      </c>
      <c r="K14" s="6">
        <v>0.49171296296296296</v>
      </c>
      <c r="L14" s="6">
        <v>0.49255787037037035</v>
      </c>
      <c r="M14" s="6"/>
      <c r="N14" s="6">
        <v>0.49737268518518518</v>
      </c>
      <c r="O14" s="7">
        <f t="shared" si="0"/>
        <v>8.149999999999995</v>
      </c>
      <c r="P14" s="5" t="s">
        <v>558</v>
      </c>
      <c r="Q14" s="5"/>
    </row>
    <row r="15" spans="1:17" x14ac:dyDescent="0.3">
      <c r="A15" s="2">
        <v>11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33</v>
      </c>
      <c r="H15" s="2" t="s">
        <v>25</v>
      </c>
      <c r="I15" s="2" t="s">
        <v>26</v>
      </c>
      <c r="J15" s="2" t="s">
        <v>27</v>
      </c>
      <c r="K15" s="3">
        <v>0.35108796296296296</v>
      </c>
      <c r="L15" s="3">
        <v>0.35187499999999999</v>
      </c>
      <c r="M15" s="3"/>
      <c r="N15" s="3">
        <v>0.36304398148148148</v>
      </c>
      <c r="O15" s="4">
        <f t="shared" si="0"/>
        <v>17.216666666666669</v>
      </c>
      <c r="P15" s="2" t="s">
        <v>558</v>
      </c>
      <c r="Q15" s="2"/>
    </row>
    <row r="16" spans="1:17" x14ac:dyDescent="0.3">
      <c r="A16" s="5">
        <v>12</v>
      </c>
      <c r="B16" s="5" t="s">
        <v>84</v>
      </c>
      <c r="C16" s="5" t="s">
        <v>85</v>
      </c>
      <c r="D16" s="5" t="s">
        <v>86</v>
      </c>
      <c r="E16" s="5" t="s">
        <v>87</v>
      </c>
      <c r="F16" s="5" t="s">
        <v>88</v>
      </c>
      <c r="G16" s="5" t="s">
        <v>24</v>
      </c>
      <c r="H16" s="5" t="s">
        <v>25</v>
      </c>
      <c r="I16" s="5" t="s">
        <v>26</v>
      </c>
      <c r="J16" s="5" t="s">
        <v>27</v>
      </c>
      <c r="K16" s="6">
        <v>0.39030092592592591</v>
      </c>
      <c r="L16" s="6">
        <v>0.39364583333333331</v>
      </c>
      <c r="M16" s="6"/>
      <c r="N16" s="6">
        <v>0.39607638888888891</v>
      </c>
      <c r="O16" s="7">
        <f t="shared" si="0"/>
        <v>8.3166666666667144</v>
      </c>
      <c r="P16" s="5" t="s">
        <v>561</v>
      </c>
      <c r="Q16" s="5" t="s">
        <v>563</v>
      </c>
    </row>
    <row r="17" spans="1:17" x14ac:dyDescent="0.3">
      <c r="A17" s="2">
        <v>13</v>
      </c>
      <c r="B17" s="2" t="s">
        <v>89</v>
      </c>
      <c r="C17" s="2" t="s">
        <v>90</v>
      </c>
      <c r="D17" s="2" t="s">
        <v>86</v>
      </c>
      <c r="E17" s="2" t="s">
        <v>91</v>
      </c>
      <c r="F17" s="2" t="s">
        <v>92</v>
      </c>
      <c r="G17" s="2" t="s">
        <v>24</v>
      </c>
      <c r="H17" s="2" t="s">
        <v>25</v>
      </c>
      <c r="I17" s="2" t="s">
        <v>26</v>
      </c>
      <c r="J17" s="2" t="s">
        <v>27</v>
      </c>
      <c r="K17" s="3">
        <v>0.42297453703703702</v>
      </c>
      <c r="L17" s="3"/>
      <c r="M17" s="3"/>
      <c r="N17" s="3">
        <v>0.42469907407407409</v>
      </c>
      <c r="O17" s="4">
        <f t="shared" si="0"/>
        <v>2.4833333333333751</v>
      </c>
      <c r="P17" s="2" t="s">
        <v>561</v>
      </c>
      <c r="Q17" s="2" t="s">
        <v>564</v>
      </c>
    </row>
    <row r="18" spans="1:17" x14ac:dyDescent="0.3">
      <c r="A18" s="5">
        <v>14</v>
      </c>
      <c r="B18" s="5" t="s">
        <v>93</v>
      </c>
      <c r="C18" s="5" t="s">
        <v>94</v>
      </c>
      <c r="D18" s="5" t="s">
        <v>95</v>
      </c>
      <c r="E18" s="5" t="s">
        <v>96</v>
      </c>
      <c r="F18" s="5" t="s">
        <v>97</v>
      </c>
      <c r="G18" s="5" t="s">
        <v>67</v>
      </c>
      <c r="H18" s="5" t="s">
        <v>25</v>
      </c>
      <c r="I18" s="5" t="s">
        <v>26</v>
      </c>
      <c r="J18" s="5" t="s">
        <v>27</v>
      </c>
      <c r="K18" s="6">
        <v>0.49707175925925928</v>
      </c>
      <c r="L18" s="6">
        <v>0.49723379629629627</v>
      </c>
      <c r="M18" s="6"/>
      <c r="N18" s="6">
        <v>0.49819444444444444</v>
      </c>
      <c r="O18" s="7">
        <f t="shared" si="0"/>
        <v>1.6166666666666263</v>
      </c>
      <c r="P18" s="5" t="s">
        <v>558</v>
      </c>
      <c r="Q18" s="5" t="s">
        <v>562</v>
      </c>
    </row>
    <row r="19" spans="1:17" x14ac:dyDescent="0.3">
      <c r="A19" s="2">
        <v>15</v>
      </c>
      <c r="B19" s="2" t="s">
        <v>98</v>
      </c>
      <c r="C19" s="2" t="s">
        <v>99</v>
      </c>
      <c r="D19" s="2" t="s">
        <v>95</v>
      </c>
      <c r="E19" s="2" t="s">
        <v>100</v>
      </c>
      <c r="F19" s="2" t="s">
        <v>101</v>
      </c>
      <c r="G19" s="2" t="s">
        <v>67</v>
      </c>
      <c r="H19" s="2" t="s">
        <v>25</v>
      </c>
      <c r="I19" s="2" t="s">
        <v>26</v>
      </c>
      <c r="J19" s="2" t="s">
        <v>27</v>
      </c>
      <c r="K19" s="3">
        <v>0.9314930555555555</v>
      </c>
      <c r="L19" s="3">
        <v>0.9314930555555555</v>
      </c>
      <c r="M19" s="3"/>
      <c r="N19" s="3">
        <v>0.93270833333333336</v>
      </c>
      <c r="O19" s="4">
        <f t="shared" si="0"/>
        <v>1.7500000000001137</v>
      </c>
      <c r="P19" s="2" t="s">
        <v>561</v>
      </c>
      <c r="Q19" s="2" t="s">
        <v>565</v>
      </c>
    </row>
    <row r="20" spans="1:17" x14ac:dyDescent="0.3">
      <c r="A20" s="5">
        <v>16</v>
      </c>
      <c r="B20" s="5" t="s">
        <v>102</v>
      </c>
      <c r="C20" s="5" t="s">
        <v>103</v>
      </c>
      <c r="D20" s="5" t="s">
        <v>104</v>
      </c>
      <c r="E20" s="5" t="s">
        <v>105</v>
      </c>
      <c r="F20" s="5" t="s">
        <v>105</v>
      </c>
      <c r="G20" s="5" t="s">
        <v>44</v>
      </c>
      <c r="H20" s="5" t="s">
        <v>25</v>
      </c>
      <c r="I20" s="5" t="s">
        <v>26</v>
      </c>
      <c r="J20" s="5" t="s">
        <v>27</v>
      </c>
      <c r="K20" s="6">
        <v>0.38185185185185183</v>
      </c>
      <c r="L20" s="6">
        <v>0.38185185185185183</v>
      </c>
      <c r="M20" s="6"/>
      <c r="N20" s="6">
        <v>0.38354166666666667</v>
      </c>
      <c r="O20" s="7">
        <f t="shared" si="0"/>
        <v>2.4333333333333673</v>
      </c>
      <c r="P20" s="5" t="s">
        <v>561</v>
      </c>
      <c r="Q20" s="5" t="s">
        <v>566</v>
      </c>
    </row>
    <row r="21" spans="1:17" x14ac:dyDescent="0.3">
      <c r="A21" s="2">
        <v>17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110</v>
      </c>
      <c r="G21" s="2" t="s">
        <v>78</v>
      </c>
      <c r="H21" s="2" t="s">
        <v>25</v>
      </c>
      <c r="I21" s="2" t="s">
        <v>26</v>
      </c>
      <c r="J21" s="2" t="s">
        <v>27</v>
      </c>
      <c r="K21" s="3">
        <v>0.38055555555555554</v>
      </c>
      <c r="L21" s="3">
        <v>0.38055555555555554</v>
      </c>
      <c r="M21" s="3"/>
      <c r="N21" s="3">
        <v>0.38927083333333334</v>
      </c>
      <c r="O21" s="4">
        <f t="shared" si="0"/>
        <v>12.550000000000043</v>
      </c>
      <c r="P21" s="2" t="s">
        <v>561</v>
      </c>
      <c r="Q21" s="2" t="s">
        <v>567</v>
      </c>
    </row>
    <row r="22" spans="1:17" x14ac:dyDescent="0.3">
      <c r="A22" s="5">
        <v>18</v>
      </c>
      <c r="B22" s="5" t="s">
        <v>111</v>
      </c>
      <c r="C22" s="5" t="s">
        <v>112</v>
      </c>
      <c r="D22" s="5" t="s">
        <v>113</v>
      </c>
      <c r="E22" s="5" t="s">
        <v>114</v>
      </c>
      <c r="F22" s="5" t="s">
        <v>115</v>
      </c>
      <c r="G22" s="5" t="s">
        <v>33</v>
      </c>
      <c r="H22" s="5" t="s">
        <v>25</v>
      </c>
      <c r="I22" s="5" t="s">
        <v>26</v>
      </c>
      <c r="J22" s="5" t="s">
        <v>27</v>
      </c>
      <c r="K22" s="6">
        <v>0.66454861111111108</v>
      </c>
      <c r="L22" s="6">
        <v>0.66454861111111108</v>
      </c>
      <c r="M22" s="6"/>
      <c r="N22" s="6">
        <v>0.67211805555555559</v>
      </c>
      <c r="O22" s="7">
        <f t="shared" si="0"/>
        <v>10.900000000000105</v>
      </c>
      <c r="P22" s="5" t="s">
        <v>558</v>
      </c>
      <c r="Q22" s="5" t="s">
        <v>568</v>
      </c>
    </row>
    <row r="23" spans="1:17" x14ac:dyDescent="0.3">
      <c r="A23" s="2">
        <v>19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120</v>
      </c>
      <c r="G23" s="2" t="s">
        <v>67</v>
      </c>
      <c r="H23" s="2" t="s">
        <v>25</v>
      </c>
      <c r="I23" s="2" t="s">
        <v>26</v>
      </c>
      <c r="J23" s="2" t="s">
        <v>27</v>
      </c>
      <c r="K23" s="3">
        <v>0.80895833333333333</v>
      </c>
      <c r="L23" s="3">
        <v>0.80932870370370369</v>
      </c>
      <c r="M23" s="3"/>
      <c r="N23" s="3">
        <v>0.81157407407407411</v>
      </c>
      <c r="O23" s="4">
        <f t="shared" si="0"/>
        <v>3.7666666666667226</v>
      </c>
      <c r="P23" s="2" t="s">
        <v>558</v>
      </c>
      <c r="Q23" s="2"/>
    </row>
    <row r="24" spans="1:17" x14ac:dyDescent="0.3">
      <c r="A24" s="5">
        <v>20</v>
      </c>
      <c r="B24" s="5" t="s">
        <v>121</v>
      </c>
      <c r="C24" s="5" t="s">
        <v>122</v>
      </c>
      <c r="D24" s="5" t="s">
        <v>123</v>
      </c>
      <c r="E24" s="5" t="s">
        <v>124</v>
      </c>
      <c r="F24" s="5" t="s">
        <v>125</v>
      </c>
      <c r="G24" s="5" t="s">
        <v>33</v>
      </c>
      <c r="H24" s="5" t="s">
        <v>25</v>
      </c>
      <c r="I24" s="5" t="s">
        <v>26</v>
      </c>
      <c r="J24" s="5" t="s">
        <v>27</v>
      </c>
      <c r="K24" s="6">
        <v>0.42729166666666668</v>
      </c>
      <c r="L24" s="6">
        <v>0.42770833333333336</v>
      </c>
      <c r="M24" s="6"/>
      <c r="N24" s="6">
        <v>0.42850694444444443</v>
      </c>
      <c r="O24" s="7">
        <f t="shared" si="0"/>
        <v>1.7499999999999538</v>
      </c>
      <c r="P24" s="5" t="s">
        <v>558</v>
      </c>
      <c r="Q24" s="5" t="s">
        <v>569</v>
      </c>
    </row>
    <row r="25" spans="1:17" x14ac:dyDescent="0.3">
      <c r="A25" s="2">
        <v>21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130</v>
      </c>
      <c r="G25" s="2" t="s">
        <v>67</v>
      </c>
      <c r="H25" s="2" t="s">
        <v>25</v>
      </c>
      <c r="I25" s="2" t="s">
        <v>26</v>
      </c>
      <c r="J25" s="2" t="s">
        <v>27</v>
      </c>
      <c r="K25" s="3">
        <v>0.73326388888888894</v>
      </c>
      <c r="L25" s="3">
        <v>0.73408564814814814</v>
      </c>
      <c r="M25" s="3"/>
      <c r="N25" s="3">
        <v>0.739375</v>
      </c>
      <c r="O25" s="4">
        <f t="shared" si="0"/>
        <v>8.7999999999999368</v>
      </c>
      <c r="P25" s="2" t="s">
        <v>558</v>
      </c>
      <c r="Q25" s="2"/>
    </row>
    <row r="26" spans="1:17" x14ac:dyDescent="0.3">
      <c r="A26" s="5">
        <v>22</v>
      </c>
      <c r="B26" s="5" t="s">
        <v>131</v>
      </c>
      <c r="C26" s="5" t="s">
        <v>132</v>
      </c>
      <c r="D26" s="5" t="s">
        <v>133</v>
      </c>
      <c r="E26" s="5" t="s">
        <v>134</v>
      </c>
      <c r="F26" s="5" t="s">
        <v>135</v>
      </c>
      <c r="G26" s="5" t="s">
        <v>136</v>
      </c>
      <c r="H26" s="5" t="s">
        <v>56</v>
      </c>
      <c r="I26" s="5" t="s">
        <v>26</v>
      </c>
      <c r="J26" s="5" t="s">
        <v>27</v>
      </c>
      <c r="K26" s="6">
        <v>0.18131944444444445</v>
      </c>
      <c r="L26" s="6">
        <v>0.1819212962962963</v>
      </c>
      <c r="M26" s="6"/>
      <c r="N26" s="6">
        <v>0.18378472222222222</v>
      </c>
      <c r="O26" s="7">
        <f t="shared" si="0"/>
        <v>3.5499999999999954</v>
      </c>
      <c r="P26" s="5" t="s">
        <v>558</v>
      </c>
      <c r="Q26" s="5"/>
    </row>
    <row r="27" spans="1:17" x14ac:dyDescent="0.3">
      <c r="A27" s="2">
        <v>23</v>
      </c>
      <c r="B27" s="2" t="s">
        <v>137</v>
      </c>
      <c r="C27" s="2" t="s">
        <v>138</v>
      </c>
      <c r="D27" s="2" t="s">
        <v>139</v>
      </c>
      <c r="E27" s="2" t="s">
        <v>140</v>
      </c>
      <c r="F27" s="2" t="s">
        <v>141</v>
      </c>
      <c r="G27" s="2" t="s">
        <v>24</v>
      </c>
      <c r="H27" s="2" t="s">
        <v>25</v>
      </c>
      <c r="I27" s="2" t="s">
        <v>26</v>
      </c>
      <c r="J27" s="2" t="s">
        <v>27</v>
      </c>
      <c r="K27" s="3">
        <v>0.67056712962962961</v>
      </c>
      <c r="L27" s="3">
        <v>0.67056712962962961</v>
      </c>
      <c r="M27" s="3"/>
      <c r="N27" s="3">
        <v>0.67155092592592591</v>
      </c>
      <c r="O27" s="4">
        <f t="shared" si="0"/>
        <v>1.416666666666675</v>
      </c>
      <c r="P27" s="2" t="s">
        <v>561</v>
      </c>
      <c r="Q27" s="2" t="s">
        <v>565</v>
      </c>
    </row>
    <row r="28" spans="1:17" x14ac:dyDescent="0.3">
      <c r="A28" s="5">
        <v>24</v>
      </c>
      <c r="B28" s="5" t="s">
        <v>142</v>
      </c>
      <c r="C28" s="5" t="s">
        <v>143</v>
      </c>
      <c r="D28" s="5" t="s">
        <v>144</v>
      </c>
      <c r="E28" s="5" t="s">
        <v>145</v>
      </c>
      <c r="F28" s="5" t="s">
        <v>146</v>
      </c>
      <c r="G28" s="5" t="s">
        <v>55</v>
      </c>
      <c r="H28" s="5" t="s">
        <v>56</v>
      </c>
      <c r="I28" s="5" t="s">
        <v>26</v>
      </c>
      <c r="J28" s="5" t="s">
        <v>27</v>
      </c>
      <c r="K28" s="6">
        <v>0.96982638888888884</v>
      </c>
      <c r="L28" s="6">
        <v>0.97026620370370376</v>
      </c>
      <c r="M28" s="6"/>
      <c r="N28" s="6">
        <v>0.97299768518518515</v>
      </c>
      <c r="O28" s="7">
        <f t="shared" si="0"/>
        <v>4.5666666666666877</v>
      </c>
      <c r="P28" s="5" t="s">
        <v>558</v>
      </c>
      <c r="Q28" s="5"/>
    </row>
    <row r="29" spans="1:17" x14ac:dyDescent="0.3">
      <c r="A29" s="2">
        <v>25</v>
      </c>
      <c r="B29" s="2" t="s">
        <v>147</v>
      </c>
      <c r="C29" s="2" t="s">
        <v>148</v>
      </c>
      <c r="D29" s="2" t="s">
        <v>149</v>
      </c>
      <c r="E29" s="2" t="s">
        <v>150</v>
      </c>
      <c r="F29" s="2" t="s">
        <v>151</v>
      </c>
      <c r="G29" s="2" t="s">
        <v>136</v>
      </c>
      <c r="H29" s="2" t="s">
        <v>56</v>
      </c>
      <c r="I29" s="2" t="s">
        <v>26</v>
      </c>
      <c r="J29" s="2" t="s">
        <v>27</v>
      </c>
      <c r="K29" s="3">
        <v>0.7272453703703704</v>
      </c>
      <c r="L29" s="3">
        <v>0.7272453703703704</v>
      </c>
      <c r="M29" s="3"/>
      <c r="N29" s="3">
        <v>0.73371527777777779</v>
      </c>
      <c r="O29" s="4">
        <f t="shared" si="0"/>
        <v>9.3166666666666309</v>
      </c>
      <c r="P29" s="2" t="s">
        <v>561</v>
      </c>
      <c r="Q29" s="2" t="s">
        <v>565</v>
      </c>
    </row>
    <row r="30" spans="1:17" x14ac:dyDescent="0.3">
      <c r="A30" s="5">
        <v>26</v>
      </c>
      <c r="B30" s="5" t="s">
        <v>152</v>
      </c>
      <c r="C30" s="5" t="s">
        <v>153</v>
      </c>
      <c r="D30" s="5" t="s">
        <v>154</v>
      </c>
      <c r="E30" s="5" t="s">
        <v>155</v>
      </c>
      <c r="F30" s="5" t="s">
        <v>156</v>
      </c>
      <c r="G30" s="5" t="s">
        <v>136</v>
      </c>
      <c r="H30" s="5" t="s">
        <v>56</v>
      </c>
      <c r="I30" s="5" t="s">
        <v>26</v>
      </c>
      <c r="J30" s="5" t="s">
        <v>27</v>
      </c>
      <c r="K30" s="6">
        <v>0.16762731481481483</v>
      </c>
      <c r="L30" s="6">
        <v>0.16811342592592593</v>
      </c>
      <c r="M30" s="6"/>
      <c r="N30" s="6">
        <v>0.17086805555555556</v>
      </c>
      <c r="O30" s="7">
        <f t="shared" si="0"/>
        <v>4.6666666666666634</v>
      </c>
      <c r="P30" s="5" t="s">
        <v>558</v>
      </c>
      <c r="Q30" s="5"/>
    </row>
    <row r="31" spans="1:17" x14ac:dyDescent="0.3">
      <c r="A31" s="2">
        <v>27</v>
      </c>
      <c r="B31" s="2" t="s">
        <v>157</v>
      </c>
      <c r="C31" s="2" t="s">
        <v>158</v>
      </c>
      <c r="D31" s="2" t="s">
        <v>159</v>
      </c>
      <c r="E31" s="2" t="s">
        <v>160</v>
      </c>
      <c r="F31" s="2" t="s">
        <v>161</v>
      </c>
      <c r="G31" s="2" t="s">
        <v>24</v>
      </c>
      <c r="H31" s="2" t="s">
        <v>25</v>
      </c>
      <c r="I31" s="2" t="s">
        <v>26</v>
      </c>
      <c r="J31" s="2" t="s">
        <v>27</v>
      </c>
      <c r="K31" s="3">
        <v>0.26123842592592594</v>
      </c>
      <c r="L31" s="3">
        <v>0.2616087962962963</v>
      </c>
      <c r="M31" s="3"/>
      <c r="N31" s="3">
        <v>0.26466435185185183</v>
      </c>
      <c r="O31" s="4">
        <f t="shared" si="0"/>
        <v>4.9333333333332785</v>
      </c>
      <c r="P31" s="2" t="s">
        <v>558</v>
      </c>
      <c r="Q31" s="2"/>
    </row>
    <row r="32" spans="1:17" x14ac:dyDescent="0.3">
      <c r="A32" s="5">
        <v>28</v>
      </c>
      <c r="B32" s="5" t="s">
        <v>162</v>
      </c>
      <c r="C32" s="5" t="s">
        <v>163</v>
      </c>
      <c r="D32" s="5" t="s">
        <v>164</v>
      </c>
      <c r="E32" s="5" t="s">
        <v>165</v>
      </c>
      <c r="F32" s="5" t="s">
        <v>166</v>
      </c>
      <c r="G32" s="5" t="s">
        <v>55</v>
      </c>
      <c r="H32" s="5" t="s">
        <v>56</v>
      </c>
      <c r="I32" s="5" t="s">
        <v>26</v>
      </c>
      <c r="J32" s="5" t="s">
        <v>27</v>
      </c>
      <c r="K32" s="6">
        <v>0.84152777777777776</v>
      </c>
      <c r="L32" s="6">
        <v>0.84197916666666661</v>
      </c>
      <c r="M32" s="6"/>
      <c r="N32" s="6">
        <v>0.84355324074074078</v>
      </c>
      <c r="O32" s="7">
        <f t="shared" si="0"/>
        <v>2.9166666666667496</v>
      </c>
      <c r="P32" s="5" t="s">
        <v>558</v>
      </c>
      <c r="Q32" s="5"/>
    </row>
    <row r="33" spans="1:17" x14ac:dyDescent="0.3">
      <c r="A33" s="2">
        <v>29</v>
      </c>
      <c r="B33" s="2" t="s">
        <v>167</v>
      </c>
      <c r="C33" s="2" t="s">
        <v>168</v>
      </c>
      <c r="D33" s="2" t="s">
        <v>169</v>
      </c>
      <c r="E33" s="2" t="s">
        <v>170</v>
      </c>
      <c r="F33" s="2" t="s">
        <v>170</v>
      </c>
      <c r="G33" s="2" t="s">
        <v>24</v>
      </c>
      <c r="H33" s="2" t="s">
        <v>25</v>
      </c>
      <c r="I33" s="2" t="s">
        <v>26</v>
      </c>
      <c r="J33" s="2" t="s">
        <v>27</v>
      </c>
      <c r="K33" s="3">
        <v>0.76495370370370375</v>
      </c>
      <c r="L33" s="3">
        <v>0.76495370370370375</v>
      </c>
      <c r="M33" s="3"/>
      <c r="N33" s="3">
        <v>0.76718750000000002</v>
      </c>
      <c r="O33" s="4">
        <f t="shared" si="0"/>
        <v>3.2166666666666366</v>
      </c>
      <c r="P33" s="2" t="s">
        <v>561</v>
      </c>
      <c r="Q33" s="2" t="s">
        <v>567</v>
      </c>
    </row>
    <row r="34" spans="1:17" x14ac:dyDescent="0.3">
      <c r="A34" s="5">
        <v>30</v>
      </c>
      <c r="B34" s="5" t="s">
        <v>171</v>
      </c>
      <c r="C34" s="5" t="s">
        <v>172</v>
      </c>
      <c r="D34" s="5" t="s">
        <v>173</v>
      </c>
      <c r="E34" s="5" t="s">
        <v>174</v>
      </c>
      <c r="F34" s="5" t="s">
        <v>175</v>
      </c>
      <c r="G34" s="5" t="s">
        <v>67</v>
      </c>
      <c r="H34" s="5" t="s">
        <v>25</v>
      </c>
      <c r="I34" s="5" t="s">
        <v>26</v>
      </c>
      <c r="J34" s="5" t="s">
        <v>27</v>
      </c>
      <c r="K34" s="6">
        <v>2.4583333333333332E-2</v>
      </c>
      <c r="L34" s="6">
        <v>2.5925925925925925E-2</v>
      </c>
      <c r="M34" s="6"/>
      <c r="N34" s="6">
        <v>2.6956018518518518E-2</v>
      </c>
      <c r="O34" s="7">
        <f t="shared" si="0"/>
        <v>3.4166666666666679</v>
      </c>
      <c r="P34" s="5" t="s">
        <v>561</v>
      </c>
      <c r="Q34" s="5" t="s">
        <v>570</v>
      </c>
    </row>
    <row r="35" spans="1:17" x14ac:dyDescent="0.3">
      <c r="A35" s="2">
        <v>31</v>
      </c>
      <c r="B35" s="2" t="s">
        <v>176</v>
      </c>
      <c r="C35" s="2" t="s">
        <v>177</v>
      </c>
      <c r="D35" s="2" t="s">
        <v>178</v>
      </c>
      <c r="E35" s="2" t="s">
        <v>179</v>
      </c>
      <c r="F35" s="2" t="s">
        <v>180</v>
      </c>
      <c r="G35" s="2" t="s">
        <v>44</v>
      </c>
      <c r="H35" s="2" t="s">
        <v>25</v>
      </c>
      <c r="I35" s="2" t="s">
        <v>26</v>
      </c>
      <c r="J35" s="2" t="s">
        <v>27</v>
      </c>
      <c r="K35" s="3">
        <v>0.95771990740740742</v>
      </c>
      <c r="L35" s="3">
        <v>0.95859953703703704</v>
      </c>
      <c r="M35" s="3"/>
      <c r="N35" s="3">
        <v>0.95916666666666661</v>
      </c>
      <c r="O35" s="4">
        <f t="shared" si="0"/>
        <v>2.0833333333332327</v>
      </c>
      <c r="P35" s="2" t="s">
        <v>558</v>
      </c>
      <c r="Q35" s="2" t="s">
        <v>562</v>
      </c>
    </row>
    <row r="36" spans="1:17" x14ac:dyDescent="0.3">
      <c r="A36" s="5">
        <v>32</v>
      </c>
      <c r="B36" s="5" t="s">
        <v>181</v>
      </c>
      <c r="C36" s="5" t="s">
        <v>182</v>
      </c>
      <c r="D36" s="5" t="s">
        <v>183</v>
      </c>
      <c r="E36" s="5" t="s">
        <v>184</v>
      </c>
      <c r="F36" s="5" t="s">
        <v>185</v>
      </c>
      <c r="G36" s="5" t="s">
        <v>44</v>
      </c>
      <c r="H36" s="5" t="s">
        <v>25</v>
      </c>
      <c r="I36" s="5" t="s">
        <v>26</v>
      </c>
      <c r="J36" s="5" t="s">
        <v>27</v>
      </c>
      <c r="K36" s="6">
        <v>0.51142361111111112</v>
      </c>
      <c r="L36" s="6">
        <v>0.51246527777777773</v>
      </c>
      <c r="M36" s="6"/>
      <c r="N36" s="6">
        <v>0.51769675925925929</v>
      </c>
      <c r="O36" s="7">
        <f t="shared" si="0"/>
        <v>9.0333333333333599</v>
      </c>
      <c r="P36" s="5" t="s">
        <v>558</v>
      </c>
      <c r="Q36" s="5"/>
    </row>
    <row r="37" spans="1:17" x14ac:dyDescent="0.3">
      <c r="A37" s="2">
        <v>33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190</v>
      </c>
      <c r="G37" s="2" t="s">
        <v>33</v>
      </c>
      <c r="H37" s="2" t="s">
        <v>25</v>
      </c>
      <c r="I37" s="2" t="s">
        <v>26</v>
      </c>
      <c r="J37" s="2" t="s">
        <v>27</v>
      </c>
      <c r="K37" s="3">
        <v>0.58181712962962961</v>
      </c>
      <c r="L37" s="3">
        <v>0.58233796296296292</v>
      </c>
      <c r="M37" s="3"/>
      <c r="N37" s="3">
        <v>0.58434027777777775</v>
      </c>
      <c r="O37" s="4">
        <f t="shared" ref="O37:O68" si="1">IF(AND(ISNUMBER(K37),ISNUMBER(N37)),(N37-K37)*1440,"")</f>
        <v>3.6333333333333151</v>
      </c>
      <c r="P37" s="2" t="s">
        <v>558</v>
      </c>
      <c r="Q37" s="2"/>
    </row>
    <row r="38" spans="1:17" x14ac:dyDescent="0.3">
      <c r="A38" s="5">
        <v>34</v>
      </c>
      <c r="B38" s="5" t="s">
        <v>191</v>
      </c>
      <c r="C38" s="5" t="s">
        <v>192</v>
      </c>
      <c r="D38" s="5" t="s">
        <v>193</v>
      </c>
      <c r="E38" s="5" t="s">
        <v>194</v>
      </c>
      <c r="F38" s="5" t="s">
        <v>195</v>
      </c>
      <c r="G38" s="5" t="s">
        <v>67</v>
      </c>
      <c r="H38" s="5" t="s">
        <v>25</v>
      </c>
      <c r="I38" s="5" t="s">
        <v>26</v>
      </c>
      <c r="J38" s="5" t="s">
        <v>27</v>
      </c>
      <c r="K38" s="6">
        <v>0.59880787037037042</v>
      </c>
      <c r="L38" s="6">
        <v>0.59915509259259259</v>
      </c>
      <c r="M38" s="6"/>
      <c r="N38" s="6">
        <v>0.59983796296296299</v>
      </c>
      <c r="O38" s="7">
        <f t="shared" si="1"/>
        <v>1.4833333333332988</v>
      </c>
      <c r="P38" s="5" t="s">
        <v>558</v>
      </c>
      <c r="Q38" s="5" t="s">
        <v>562</v>
      </c>
    </row>
    <row r="39" spans="1:17" x14ac:dyDescent="0.3">
      <c r="A39" s="2">
        <v>35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200</v>
      </c>
      <c r="G39" s="2" t="s">
        <v>44</v>
      </c>
      <c r="H39" s="2" t="s">
        <v>25</v>
      </c>
      <c r="I39" s="2" t="s">
        <v>26</v>
      </c>
      <c r="J39" s="2" t="s">
        <v>27</v>
      </c>
      <c r="K39" s="3">
        <v>0.82112268518518516</v>
      </c>
      <c r="L39" s="3">
        <v>0.82112268518518516</v>
      </c>
      <c r="M39" s="3"/>
      <c r="N39" s="3">
        <v>0.82184027777777779</v>
      </c>
      <c r="O39" s="4">
        <f t="shared" si="1"/>
        <v>1.0333333333333883</v>
      </c>
      <c r="P39" s="2" t="s">
        <v>561</v>
      </c>
      <c r="Q39" s="2" t="s">
        <v>567</v>
      </c>
    </row>
    <row r="40" spans="1:17" x14ac:dyDescent="0.3">
      <c r="A40" s="5">
        <v>36</v>
      </c>
      <c r="B40" s="5" t="s">
        <v>201</v>
      </c>
      <c r="C40" s="5" t="s">
        <v>202</v>
      </c>
      <c r="D40" s="5" t="s">
        <v>203</v>
      </c>
      <c r="E40" s="5" t="s">
        <v>204</v>
      </c>
      <c r="F40" s="5" t="s">
        <v>205</v>
      </c>
      <c r="G40" s="5" t="s">
        <v>24</v>
      </c>
      <c r="H40" s="5" t="s">
        <v>25</v>
      </c>
      <c r="I40" s="5" t="s">
        <v>26</v>
      </c>
      <c r="J40" s="5" t="s">
        <v>27</v>
      </c>
      <c r="K40" s="6">
        <v>0.36136574074074074</v>
      </c>
      <c r="L40" s="6"/>
      <c r="M40" s="6"/>
      <c r="N40" s="6">
        <v>0.37076388888888889</v>
      </c>
      <c r="O40" s="7">
        <f t="shared" si="1"/>
        <v>13.533333333333344</v>
      </c>
      <c r="P40" s="5" t="s">
        <v>561</v>
      </c>
      <c r="Q40" s="5" t="s">
        <v>571</v>
      </c>
    </row>
    <row r="41" spans="1:17" x14ac:dyDescent="0.3">
      <c r="A41" s="2">
        <v>37</v>
      </c>
      <c r="B41" s="2" t="s">
        <v>206</v>
      </c>
      <c r="C41" s="2" t="s">
        <v>207</v>
      </c>
      <c r="D41" s="2" t="s">
        <v>203</v>
      </c>
      <c r="E41" s="2" t="s">
        <v>208</v>
      </c>
      <c r="F41" s="2" t="s">
        <v>209</v>
      </c>
      <c r="G41" s="2" t="s">
        <v>24</v>
      </c>
      <c r="H41" s="2" t="s">
        <v>25</v>
      </c>
      <c r="I41" s="2" t="s">
        <v>26</v>
      </c>
      <c r="J41" s="2" t="s">
        <v>27</v>
      </c>
      <c r="K41" s="3">
        <v>0.44745370370370369</v>
      </c>
      <c r="L41" s="3">
        <v>0.44777777777777777</v>
      </c>
      <c r="M41" s="3"/>
      <c r="N41" s="3">
        <v>0.4510763888888889</v>
      </c>
      <c r="O41" s="4">
        <f t="shared" si="1"/>
        <v>5.2166666666667094</v>
      </c>
      <c r="P41" s="2" t="s">
        <v>558</v>
      </c>
      <c r="Q41" s="2"/>
    </row>
    <row r="42" spans="1:17" x14ac:dyDescent="0.3">
      <c r="A42" s="5">
        <v>38</v>
      </c>
      <c r="B42" s="5" t="s">
        <v>210</v>
      </c>
      <c r="C42" s="5" t="s">
        <v>211</v>
      </c>
      <c r="D42" s="5" t="s">
        <v>203</v>
      </c>
      <c r="E42" s="5" t="s">
        <v>212</v>
      </c>
      <c r="F42" s="5" t="s">
        <v>213</v>
      </c>
      <c r="G42" s="5" t="s">
        <v>24</v>
      </c>
      <c r="H42" s="5" t="s">
        <v>25</v>
      </c>
      <c r="I42" s="5" t="s">
        <v>26</v>
      </c>
      <c r="J42" s="5" t="s">
        <v>27</v>
      </c>
      <c r="K42" s="6">
        <v>0.70032407407407404</v>
      </c>
      <c r="L42" s="6">
        <v>0.70076388888888885</v>
      </c>
      <c r="M42" s="6"/>
      <c r="N42" s="6">
        <v>0.70350694444444439</v>
      </c>
      <c r="O42" s="7">
        <f t="shared" si="1"/>
        <v>4.5833333333333037</v>
      </c>
      <c r="P42" s="5" t="s">
        <v>558</v>
      </c>
      <c r="Q42" s="5"/>
    </row>
    <row r="43" spans="1:17" x14ac:dyDescent="0.3">
      <c r="A43" s="2">
        <v>39</v>
      </c>
      <c r="B43" s="2" t="s">
        <v>214</v>
      </c>
      <c r="C43" s="2" t="s">
        <v>215</v>
      </c>
      <c r="D43" s="2" t="s">
        <v>216</v>
      </c>
      <c r="E43" s="2" t="s">
        <v>217</v>
      </c>
      <c r="F43" s="2" t="s">
        <v>218</v>
      </c>
      <c r="G43" s="2" t="s">
        <v>55</v>
      </c>
      <c r="H43" s="2" t="s">
        <v>56</v>
      </c>
      <c r="I43" s="2" t="s">
        <v>26</v>
      </c>
      <c r="J43" s="2" t="s">
        <v>27</v>
      </c>
      <c r="K43" s="3">
        <v>0.54489583333333336</v>
      </c>
      <c r="L43" s="3">
        <v>0.54525462962962967</v>
      </c>
      <c r="M43" s="3"/>
      <c r="N43" s="3">
        <v>0.54599537037037038</v>
      </c>
      <c r="O43" s="4">
        <f t="shared" si="1"/>
        <v>1.5833333333333144</v>
      </c>
      <c r="P43" s="2" t="s">
        <v>558</v>
      </c>
      <c r="Q43" s="2" t="s">
        <v>562</v>
      </c>
    </row>
    <row r="44" spans="1:17" x14ac:dyDescent="0.3">
      <c r="A44" s="5">
        <v>40</v>
      </c>
      <c r="B44" s="5" t="s">
        <v>219</v>
      </c>
      <c r="C44" s="5" t="s">
        <v>220</v>
      </c>
      <c r="D44" s="5" t="s">
        <v>221</v>
      </c>
      <c r="E44" s="5" t="s">
        <v>222</v>
      </c>
      <c r="F44" s="5" t="s">
        <v>223</v>
      </c>
      <c r="G44" s="5" t="s">
        <v>24</v>
      </c>
      <c r="H44" s="5" t="s">
        <v>25</v>
      </c>
      <c r="I44" s="5" t="s">
        <v>26</v>
      </c>
      <c r="J44" s="5" t="s">
        <v>27</v>
      </c>
      <c r="K44" s="6">
        <v>0.81010416666666663</v>
      </c>
      <c r="L44" s="6">
        <v>0.81047453703703709</v>
      </c>
      <c r="M44" s="6"/>
      <c r="N44" s="6">
        <v>0.81059027777777781</v>
      </c>
      <c r="O44" s="7">
        <f t="shared" si="1"/>
        <v>0.70000000000010942</v>
      </c>
      <c r="P44" s="5" t="s">
        <v>558</v>
      </c>
      <c r="Q44" s="5" t="s">
        <v>562</v>
      </c>
    </row>
    <row r="45" spans="1:17" x14ac:dyDescent="0.3">
      <c r="A45" s="2">
        <v>41</v>
      </c>
      <c r="B45" s="2" t="s">
        <v>224</v>
      </c>
      <c r="C45" s="2" t="s">
        <v>225</v>
      </c>
      <c r="D45" s="2" t="s">
        <v>226</v>
      </c>
      <c r="E45" s="2" t="s">
        <v>227</v>
      </c>
      <c r="F45" s="2" t="s">
        <v>228</v>
      </c>
      <c r="G45" s="2" t="s">
        <v>44</v>
      </c>
      <c r="H45" s="2" t="s">
        <v>25</v>
      </c>
      <c r="I45" s="2" t="s">
        <v>26</v>
      </c>
      <c r="J45" s="2" t="s">
        <v>27</v>
      </c>
      <c r="K45" s="3">
        <v>0.36880787037037038</v>
      </c>
      <c r="L45" s="3">
        <v>0.3691550925925926</v>
      </c>
      <c r="M45" s="3"/>
      <c r="N45" s="3">
        <v>0.37019675925925927</v>
      </c>
      <c r="O45" s="4">
        <f t="shared" si="1"/>
        <v>1.9999999999999929</v>
      </c>
      <c r="P45" s="2" t="s">
        <v>558</v>
      </c>
      <c r="Q45" s="2" t="s">
        <v>562</v>
      </c>
    </row>
    <row r="46" spans="1:17" x14ac:dyDescent="0.3">
      <c r="A46" s="5">
        <v>42</v>
      </c>
      <c r="B46" s="5" t="s">
        <v>229</v>
      </c>
      <c r="C46" s="5" t="s">
        <v>230</v>
      </c>
      <c r="D46" s="5" t="s">
        <v>231</v>
      </c>
      <c r="E46" s="5" t="s">
        <v>232</v>
      </c>
      <c r="F46" s="5" t="s">
        <v>233</v>
      </c>
      <c r="G46" s="5" t="s">
        <v>44</v>
      </c>
      <c r="H46" s="5" t="s">
        <v>25</v>
      </c>
      <c r="I46" s="5" t="s">
        <v>26</v>
      </c>
      <c r="J46" s="5" t="s">
        <v>27</v>
      </c>
      <c r="K46" s="6">
        <v>0.81837962962962962</v>
      </c>
      <c r="L46" s="6">
        <v>0.81837962962962962</v>
      </c>
      <c r="M46" s="6"/>
      <c r="N46" s="6">
        <v>0.81922453703703701</v>
      </c>
      <c r="O46" s="7">
        <f t="shared" si="1"/>
        <v>1.2166666666666437</v>
      </c>
      <c r="P46" s="5" t="s">
        <v>561</v>
      </c>
      <c r="Q46" s="5" t="s">
        <v>567</v>
      </c>
    </row>
    <row r="47" spans="1:17" x14ac:dyDescent="0.3">
      <c r="A47" s="2">
        <v>43</v>
      </c>
      <c r="B47" s="2" t="s">
        <v>234</v>
      </c>
      <c r="C47" s="2" t="s">
        <v>235</v>
      </c>
      <c r="D47" s="2" t="s">
        <v>236</v>
      </c>
      <c r="E47" s="2" t="s">
        <v>237</v>
      </c>
      <c r="F47" s="2" t="s">
        <v>238</v>
      </c>
      <c r="G47" s="2" t="s">
        <v>24</v>
      </c>
      <c r="H47" s="2" t="s">
        <v>25</v>
      </c>
      <c r="I47" s="2" t="s">
        <v>26</v>
      </c>
      <c r="J47" s="2" t="s">
        <v>27</v>
      </c>
      <c r="K47" s="3">
        <v>0.66328703703703706</v>
      </c>
      <c r="L47" s="3">
        <v>0.66407407407407404</v>
      </c>
      <c r="M47" s="3"/>
      <c r="N47" s="3">
        <v>0.66456018518518523</v>
      </c>
      <c r="O47" s="4">
        <f t="shared" si="1"/>
        <v>1.8333333333333535</v>
      </c>
      <c r="P47" s="2" t="s">
        <v>558</v>
      </c>
      <c r="Q47" s="2" t="s">
        <v>562</v>
      </c>
    </row>
    <row r="48" spans="1:17" x14ac:dyDescent="0.3">
      <c r="A48" s="5">
        <v>44</v>
      </c>
      <c r="B48" s="5" t="s">
        <v>239</v>
      </c>
      <c r="C48" s="5" t="s">
        <v>240</v>
      </c>
      <c r="D48" s="5" t="s">
        <v>241</v>
      </c>
      <c r="E48" s="5" t="s">
        <v>242</v>
      </c>
      <c r="F48" s="5" t="s">
        <v>243</v>
      </c>
      <c r="G48" s="5" t="s">
        <v>78</v>
      </c>
      <c r="H48" s="5" t="s">
        <v>25</v>
      </c>
      <c r="I48" s="5" t="s">
        <v>26</v>
      </c>
      <c r="J48" s="5" t="s">
        <v>27</v>
      </c>
      <c r="K48" s="6">
        <v>0.49851851851851853</v>
      </c>
      <c r="L48" s="6">
        <v>0.49872685185185184</v>
      </c>
      <c r="M48" s="6"/>
      <c r="N48" s="6">
        <v>0.50064814814814818</v>
      </c>
      <c r="O48" s="7">
        <f t="shared" si="1"/>
        <v>3.0666666666666931</v>
      </c>
      <c r="P48" s="5" t="s">
        <v>558</v>
      </c>
      <c r="Q48" s="5"/>
    </row>
    <row r="49" spans="1:17" x14ac:dyDescent="0.3">
      <c r="A49" s="2">
        <v>45</v>
      </c>
      <c r="B49" s="2" t="s">
        <v>244</v>
      </c>
      <c r="C49" s="2" t="s">
        <v>245</v>
      </c>
      <c r="D49" s="2" t="s">
        <v>241</v>
      </c>
      <c r="E49" s="2" t="s">
        <v>246</v>
      </c>
      <c r="F49" s="2" t="s">
        <v>247</v>
      </c>
      <c r="G49" s="2" t="s">
        <v>78</v>
      </c>
      <c r="H49" s="2" t="s">
        <v>25</v>
      </c>
      <c r="I49" s="2" t="s">
        <v>26</v>
      </c>
      <c r="J49" s="2" t="s">
        <v>27</v>
      </c>
      <c r="K49" s="3">
        <v>0.66013888888888894</v>
      </c>
      <c r="L49" s="3">
        <v>0.66146990740740741</v>
      </c>
      <c r="M49" s="3"/>
      <c r="N49" s="3">
        <v>0.6758912037037037</v>
      </c>
      <c r="O49" s="4">
        <f t="shared" si="1"/>
        <v>22.683333333333255</v>
      </c>
      <c r="P49" s="2" t="s">
        <v>558</v>
      </c>
      <c r="Q49" s="2" t="s">
        <v>572</v>
      </c>
    </row>
    <row r="50" spans="1:17" x14ac:dyDescent="0.3">
      <c r="A50" s="5">
        <v>46</v>
      </c>
      <c r="B50" s="5" t="s">
        <v>248</v>
      </c>
      <c r="C50" s="5" t="s">
        <v>249</v>
      </c>
      <c r="D50" s="5" t="s">
        <v>250</v>
      </c>
      <c r="E50" s="5" t="s">
        <v>251</v>
      </c>
      <c r="F50" s="5" t="s">
        <v>252</v>
      </c>
      <c r="G50" s="5" t="s">
        <v>24</v>
      </c>
      <c r="H50" s="5" t="s">
        <v>25</v>
      </c>
      <c r="I50" s="5" t="s">
        <v>26</v>
      </c>
      <c r="J50" s="5" t="s">
        <v>27</v>
      </c>
      <c r="K50" s="6">
        <v>0.78585648148148146</v>
      </c>
      <c r="L50" s="6">
        <v>0.78662037037037036</v>
      </c>
      <c r="M50" s="6"/>
      <c r="N50" s="6">
        <v>0.78881944444444441</v>
      </c>
      <c r="O50" s="7">
        <f t="shared" si="1"/>
        <v>4.2666666666666409</v>
      </c>
      <c r="P50" s="5" t="s">
        <v>558</v>
      </c>
      <c r="Q50" s="5"/>
    </row>
    <row r="51" spans="1:17" x14ac:dyDescent="0.3">
      <c r="A51" s="2">
        <v>47</v>
      </c>
      <c r="B51" s="2" t="s">
        <v>253</v>
      </c>
      <c r="C51" s="2" t="s">
        <v>254</v>
      </c>
      <c r="D51" s="2" t="s">
        <v>255</v>
      </c>
      <c r="E51" s="2" t="s">
        <v>256</v>
      </c>
      <c r="F51" s="2" t="s">
        <v>257</v>
      </c>
      <c r="G51" s="2" t="s">
        <v>67</v>
      </c>
      <c r="H51" s="2" t="s">
        <v>25</v>
      </c>
      <c r="I51" s="2" t="s">
        <v>26</v>
      </c>
      <c r="J51" s="2" t="s">
        <v>27</v>
      </c>
      <c r="K51" s="3">
        <v>0.85025462962962961</v>
      </c>
      <c r="L51" s="3">
        <v>0.85172453703703699</v>
      </c>
      <c r="M51" s="3"/>
      <c r="N51" s="3">
        <v>0.85182870370370367</v>
      </c>
      <c r="O51" s="4">
        <f t="shared" si="1"/>
        <v>2.266666666666648</v>
      </c>
      <c r="P51" s="2" t="s">
        <v>561</v>
      </c>
      <c r="Q51" s="2" t="s">
        <v>573</v>
      </c>
    </row>
    <row r="52" spans="1:17" x14ac:dyDescent="0.3">
      <c r="A52" s="5">
        <v>48</v>
      </c>
      <c r="B52" s="5" t="s">
        <v>258</v>
      </c>
      <c r="C52" s="5" t="s">
        <v>259</v>
      </c>
      <c r="D52" s="5" t="s">
        <v>260</v>
      </c>
      <c r="E52" s="5" t="s">
        <v>261</v>
      </c>
      <c r="F52" s="5" t="s">
        <v>262</v>
      </c>
      <c r="G52" s="5" t="s">
        <v>67</v>
      </c>
      <c r="H52" s="5" t="s">
        <v>25</v>
      </c>
      <c r="I52" s="5" t="s">
        <v>26</v>
      </c>
      <c r="J52" s="5" t="s">
        <v>27</v>
      </c>
      <c r="K52" s="6">
        <v>0.52462962962962967</v>
      </c>
      <c r="L52" s="6">
        <v>0.52547453703703706</v>
      </c>
      <c r="M52" s="6"/>
      <c r="N52" s="6">
        <v>0.5271527777777778</v>
      </c>
      <c r="O52" s="7">
        <f t="shared" si="1"/>
        <v>3.6333333333333151</v>
      </c>
      <c r="P52" s="5" t="s">
        <v>558</v>
      </c>
      <c r="Q52" s="5"/>
    </row>
    <row r="53" spans="1:17" x14ac:dyDescent="0.3">
      <c r="A53" s="2">
        <v>49</v>
      </c>
      <c r="B53" s="2" t="s">
        <v>263</v>
      </c>
      <c r="C53" s="2" t="s">
        <v>264</v>
      </c>
      <c r="D53" s="2" t="s">
        <v>265</v>
      </c>
      <c r="E53" s="2" t="s">
        <v>266</v>
      </c>
      <c r="F53" s="2" t="s">
        <v>267</v>
      </c>
      <c r="G53" s="2" t="s">
        <v>55</v>
      </c>
      <c r="H53" s="2" t="s">
        <v>56</v>
      </c>
      <c r="I53" s="2" t="s">
        <v>26</v>
      </c>
      <c r="J53" s="2" t="s">
        <v>27</v>
      </c>
      <c r="K53" s="3">
        <v>0.12940972222222222</v>
      </c>
      <c r="L53" s="3">
        <v>0.12967592592592592</v>
      </c>
      <c r="M53" s="3"/>
      <c r="N53" s="3">
        <v>0.13067129629629629</v>
      </c>
      <c r="O53" s="4">
        <f t="shared" si="1"/>
        <v>1.8166666666666575</v>
      </c>
      <c r="P53" s="2" t="s">
        <v>558</v>
      </c>
      <c r="Q53" s="2" t="s">
        <v>562</v>
      </c>
    </row>
    <row r="54" spans="1:17" x14ac:dyDescent="0.3">
      <c r="A54" s="5">
        <v>50</v>
      </c>
      <c r="B54" s="5" t="s">
        <v>268</v>
      </c>
      <c r="C54" s="5" t="s">
        <v>269</v>
      </c>
      <c r="D54" s="5" t="s">
        <v>270</v>
      </c>
      <c r="E54" s="5" t="s">
        <v>271</v>
      </c>
      <c r="F54" s="5" t="s">
        <v>272</v>
      </c>
      <c r="G54" s="5" t="s">
        <v>136</v>
      </c>
      <c r="H54" s="5" t="s">
        <v>56</v>
      </c>
      <c r="I54" s="5" t="s">
        <v>26</v>
      </c>
      <c r="J54" s="5" t="s">
        <v>27</v>
      </c>
      <c r="K54" s="6">
        <v>0.82634259259259257</v>
      </c>
      <c r="L54" s="6">
        <v>0.82750000000000001</v>
      </c>
      <c r="M54" s="6"/>
      <c r="N54" s="6">
        <v>0.8283449074074074</v>
      </c>
      <c r="O54" s="7">
        <f t="shared" si="1"/>
        <v>2.8833333333333577</v>
      </c>
      <c r="P54" s="5" t="s">
        <v>558</v>
      </c>
      <c r="Q54" s="5" t="s">
        <v>562</v>
      </c>
    </row>
    <row r="55" spans="1:17" x14ac:dyDescent="0.3">
      <c r="A55" s="2">
        <v>51</v>
      </c>
      <c r="B55" s="2" t="s">
        <v>273</v>
      </c>
      <c r="C55" s="2" t="s">
        <v>274</v>
      </c>
      <c r="D55" s="2" t="s">
        <v>275</v>
      </c>
      <c r="E55" s="2" t="s">
        <v>276</v>
      </c>
      <c r="F55" s="2" t="s">
        <v>277</v>
      </c>
      <c r="G55" s="2" t="s">
        <v>136</v>
      </c>
      <c r="H55" s="2" t="s">
        <v>56</v>
      </c>
      <c r="I55" s="2" t="s">
        <v>26</v>
      </c>
      <c r="J55" s="2" t="s">
        <v>27</v>
      </c>
      <c r="K55" s="3">
        <v>0.50778935185185181</v>
      </c>
      <c r="L55" s="3">
        <v>0.50891203703703702</v>
      </c>
      <c r="M55" s="3"/>
      <c r="N55" s="3">
        <v>0.51785879629629628</v>
      </c>
      <c r="O55" s="4">
        <f t="shared" si="1"/>
        <v>14.500000000000028</v>
      </c>
      <c r="P55" s="2" t="s">
        <v>558</v>
      </c>
      <c r="Q55" s="2"/>
    </row>
    <row r="56" spans="1:17" x14ac:dyDescent="0.3">
      <c r="A56" s="5">
        <v>52</v>
      </c>
      <c r="B56" s="5" t="s">
        <v>278</v>
      </c>
      <c r="C56" s="5" t="s">
        <v>279</v>
      </c>
      <c r="D56" s="5" t="s">
        <v>280</v>
      </c>
      <c r="E56" s="5" t="s">
        <v>281</v>
      </c>
      <c r="F56" s="5" t="s">
        <v>282</v>
      </c>
      <c r="G56" s="5" t="s">
        <v>44</v>
      </c>
      <c r="H56" s="5" t="s">
        <v>25</v>
      </c>
      <c r="I56" s="5" t="s">
        <v>26</v>
      </c>
      <c r="J56" s="5" t="s">
        <v>27</v>
      </c>
      <c r="K56" s="6">
        <v>0.96807870370370375</v>
      </c>
      <c r="L56" s="6">
        <v>0.96892361111111114</v>
      </c>
      <c r="M56" s="6"/>
      <c r="N56" s="6">
        <v>0.97428240740740746</v>
      </c>
      <c r="O56" s="7">
        <f t="shared" si="1"/>
        <v>8.9333333333333442</v>
      </c>
      <c r="P56" s="5" t="s">
        <v>558</v>
      </c>
      <c r="Q56" s="5"/>
    </row>
    <row r="57" spans="1:17" x14ac:dyDescent="0.3">
      <c r="A57" s="2">
        <v>53</v>
      </c>
      <c r="B57" s="2" t="s">
        <v>283</v>
      </c>
      <c r="C57" s="2" t="s">
        <v>284</v>
      </c>
      <c r="D57" s="2" t="s">
        <v>285</v>
      </c>
      <c r="E57" s="2" t="s">
        <v>286</v>
      </c>
      <c r="F57" s="2" t="s">
        <v>287</v>
      </c>
      <c r="G57" s="2" t="s">
        <v>55</v>
      </c>
      <c r="H57" s="2" t="s">
        <v>56</v>
      </c>
      <c r="I57" s="2" t="s">
        <v>26</v>
      </c>
      <c r="J57" s="2" t="s">
        <v>27</v>
      </c>
      <c r="K57" s="3">
        <v>0.69348379629629631</v>
      </c>
      <c r="L57" s="3">
        <v>0.69348379629629631</v>
      </c>
      <c r="M57" s="3"/>
      <c r="N57" s="3">
        <v>0.69581018518518523</v>
      </c>
      <c r="O57" s="4">
        <f t="shared" si="1"/>
        <v>3.3500000000000441</v>
      </c>
      <c r="P57" s="2" t="s">
        <v>561</v>
      </c>
      <c r="Q57" s="2" t="s">
        <v>567</v>
      </c>
    </row>
    <row r="58" spans="1:17" x14ac:dyDescent="0.3">
      <c r="A58" s="5">
        <v>54</v>
      </c>
      <c r="B58" s="5" t="s">
        <v>288</v>
      </c>
      <c r="C58" s="5" t="s">
        <v>289</v>
      </c>
      <c r="D58" s="5" t="s">
        <v>290</v>
      </c>
      <c r="E58" s="5" t="s">
        <v>291</v>
      </c>
      <c r="F58" s="5" t="s">
        <v>292</v>
      </c>
      <c r="G58" s="5" t="s">
        <v>24</v>
      </c>
      <c r="H58" s="5" t="s">
        <v>25</v>
      </c>
      <c r="I58" s="5" t="s">
        <v>26</v>
      </c>
      <c r="J58" s="5" t="s">
        <v>27</v>
      </c>
      <c r="K58" s="6">
        <v>0.82866898148148149</v>
      </c>
      <c r="L58" s="6">
        <v>0.82866898148148149</v>
      </c>
      <c r="M58" s="6"/>
      <c r="N58" s="6">
        <v>0.82934027777777775</v>
      </c>
      <c r="O58" s="7">
        <f t="shared" si="1"/>
        <v>0.96666666666660461</v>
      </c>
      <c r="P58" s="5" t="s">
        <v>561</v>
      </c>
      <c r="Q58" s="5" t="s">
        <v>567</v>
      </c>
    </row>
    <row r="59" spans="1:17" x14ac:dyDescent="0.3">
      <c r="A59" s="2">
        <v>55</v>
      </c>
      <c r="B59" s="2" t="s">
        <v>293</v>
      </c>
      <c r="C59" s="2" t="s">
        <v>294</v>
      </c>
      <c r="D59" s="2" t="s">
        <v>295</v>
      </c>
      <c r="E59" s="2" t="s">
        <v>296</v>
      </c>
      <c r="F59" s="2" t="s">
        <v>297</v>
      </c>
      <c r="G59" s="2" t="s">
        <v>33</v>
      </c>
      <c r="H59" s="2" t="s">
        <v>25</v>
      </c>
      <c r="I59" s="2" t="s">
        <v>26</v>
      </c>
      <c r="J59" s="2" t="s">
        <v>27</v>
      </c>
      <c r="K59" s="3">
        <v>0.46422453703703703</v>
      </c>
      <c r="L59" s="3">
        <v>0.46453703703703703</v>
      </c>
      <c r="M59" s="3"/>
      <c r="N59" s="3">
        <v>0.46674768518518517</v>
      </c>
      <c r="O59" s="4">
        <f t="shared" si="1"/>
        <v>3.6333333333333151</v>
      </c>
      <c r="P59" s="2" t="s">
        <v>558</v>
      </c>
      <c r="Q59" s="2"/>
    </row>
    <row r="60" spans="1:17" x14ac:dyDescent="0.3">
      <c r="A60" s="5">
        <v>56</v>
      </c>
      <c r="B60" s="5" t="s">
        <v>298</v>
      </c>
      <c r="C60" s="5" t="s">
        <v>299</v>
      </c>
      <c r="D60" s="5" t="s">
        <v>300</v>
      </c>
      <c r="E60" s="5" t="s">
        <v>301</v>
      </c>
      <c r="F60" s="5" t="s">
        <v>302</v>
      </c>
      <c r="G60" s="5" t="s">
        <v>24</v>
      </c>
      <c r="H60" s="5" t="s">
        <v>25</v>
      </c>
      <c r="I60" s="5" t="s">
        <v>26</v>
      </c>
      <c r="J60" s="5" t="s">
        <v>27</v>
      </c>
      <c r="K60" s="6">
        <v>0.83895833333333336</v>
      </c>
      <c r="L60" s="6">
        <v>0.83895833333333336</v>
      </c>
      <c r="M60" s="6"/>
      <c r="N60" s="6">
        <v>0.83998842592592593</v>
      </c>
      <c r="O60" s="7">
        <f t="shared" si="1"/>
        <v>1.4833333333332988</v>
      </c>
      <c r="P60" s="5" t="s">
        <v>561</v>
      </c>
      <c r="Q60" s="5" t="s">
        <v>567</v>
      </c>
    </row>
    <row r="61" spans="1:17" x14ac:dyDescent="0.3">
      <c r="A61" s="2">
        <v>57</v>
      </c>
      <c r="B61" s="2" t="s">
        <v>303</v>
      </c>
      <c r="C61" s="2" t="s">
        <v>304</v>
      </c>
      <c r="D61" s="2" t="s">
        <v>305</v>
      </c>
      <c r="E61" s="2" t="s">
        <v>306</v>
      </c>
      <c r="F61" s="2" t="s">
        <v>307</v>
      </c>
      <c r="G61" s="2" t="s">
        <v>55</v>
      </c>
      <c r="H61" s="2" t="s">
        <v>56</v>
      </c>
      <c r="I61" s="2" t="s">
        <v>26</v>
      </c>
      <c r="J61" s="2" t="s">
        <v>27</v>
      </c>
      <c r="K61" s="3">
        <v>0.60403935185185187</v>
      </c>
      <c r="L61" s="3">
        <v>0.60479166666666662</v>
      </c>
      <c r="M61" s="3"/>
      <c r="N61" s="3">
        <v>0.60837962962962966</v>
      </c>
      <c r="O61" s="4">
        <f t="shared" si="1"/>
        <v>6.2500000000000178</v>
      </c>
      <c r="P61" s="2" t="s">
        <v>558</v>
      </c>
      <c r="Q61" s="2"/>
    </row>
    <row r="62" spans="1:17" x14ac:dyDescent="0.3">
      <c r="A62" s="5">
        <v>58</v>
      </c>
      <c r="B62" s="5" t="s">
        <v>308</v>
      </c>
      <c r="C62" s="5" t="s">
        <v>309</v>
      </c>
      <c r="D62" s="5" t="s">
        <v>310</v>
      </c>
      <c r="E62" s="5" t="s">
        <v>311</v>
      </c>
      <c r="F62" s="5" t="s">
        <v>312</v>
      </c>
      <c r="G62" s="5" t="s">
        <v>136</v>
      </c>
      <c r="H62" s="5" t="s">
        <v>56</v>
      </c>
      <c r="I62" s="5" t="s">
        <v>26</v>
      </c>
      <c r="J62" s="5" t="s">
        <v>27</v>
      </c>
      <c r="K62" s="6">
        <v>0.76645833333333335</v>
      </c>
      <c r="L62" s="6">
        <v>0.76663194444444449</v>
      </c>
      <c r="M62" s="6"/>
      <c r="N62" s="6">
        <v>0.76866898148148144</v>
      </c>
      <c r="O62" s="7">
        <f t="shared" si="1"/>
        <v>3.1833333333332448</v>
      </c>
      <c r="P62" s="5" t="s">
        <v>558</v>
      </c>
      <c r="Q62" s="5"/>
    </row>
    <row r="63" spans="1:17" x14ac:dyDescent="0.3">
      <c r="A63" s="2">
        <v>59</v>
      </c>
      <c r="B63" s="2" t="s">
        <v>313</v>
      </c>
      <c r="C63" s="2" t="s">
        <v>314</v>
      </c>
      <c r="D63" s="2" t="s">
        <v>315</v>
      </c>
      <c r="E63" s="2" t="s">
        <v>316</v>
      </c>
      <c r="F63" s="2" t="s">
        <v>317</v>
      </c>
      <c r="G63" s="2" t="s">
        <v>24</v>
      </c>
      <c r="H63" s="2" t="s">
        <v>25</v>
      </c>
      <c r="I63" s="2" t="s">
        <v>26</v>
      </c>
      <c r="J63" s="2" t="s">
        <v>27</v>
      </c>
      <c r="K63" s="3">
        <v>0.38850694444444445</v>
      </c>
      <c r="L63" s="3"/>
      <c r="M63" s="3"/>
      <c r="N63" s="3">
        <v>0.4060300925925926</v>
      </c>
      <c r="O63" s="4">
        <f t="shared" si="1"/>
        <v>25.233333333333334</v>
      </c>
      <c r="P63" s="2" t="s">
        <v>561</v>
      </c>
      <c r="Q63" s="2" t="s">
        <v>574</v>
      </c>
    </row>
    <row r="64" spans="1:17" x14ac:dyDescent="0.3">
      <c r="A64" s="5">
        <v>60</v>
      </c>
      <c r="B64" s="5" t="s">
        <v>318</v>
      </c>
      <c r="C64" s="5" t="s">
        <v>319</v>
      </c>
      <c r="D64" s="5" t="s">
        <v>320</v>
      </c>
      <c r="E64" s="5" t="s">
        <v>321</v>
      </c>
      <c r="F64" s="5" t="s">
        <v>322</v>
      </c>
      <c r="G64" s="5" t="s">
        <v>78</v>
      </c>
      <c r="H64" s="5" t="s">
        <v>25</v>
      </c>
      <c r="I64" s="5" t="s">
        <v>26</v>
      </c>
      <c r="J64" s="5" t="s">
        <v>27</v>
      </c>
      <c r="K64" s="6">
        <v>0.53527777777777774</v>
      </c>
      <c r="L64" s="6">
        <v>0.53597222222222218</v>
      </c>
      <c r="M64" s="6"/>
      <c r="N64" s="6">
        <v>0.53756944444444443</v>
      </c>
      <c r="O64" s="7">
        <f t="shared" si="1"/>
        <v>3.3000000000000362</v>
      </c>
      <c r="P64" s="5" t="s">
        <v>558</v>
      </c>
      <c r="Q64" s="5"/>
    </row>
    <row r="65" spans="1:17" x14ac:dyDescent="0.3">
      <c r="A65" s="2">
        <v>61</v>
      </c>
      <c r="B65" s="2" t="s">
        <v>323</v>
      </c>
      <c r="C65" s="2" t="s">
        <v>324</v>
      </c>
      <c r="D65" s="2" t="s">
        <v>325</v>
      </c>
      <c r="E65" s="2" t="s">
        <v>326</v>
      </c>
      <c r="F65" s="2" t="s">
        <v>327</v>
      </c>
      <c r="G65" s="2" t="s">
        <v>67</v>
      </c>
      <c r="H65" s="2" t="s">
        <v>25</v>
      </c>
      <c r="I65" s="2" t="s">
        <v>26</v>
      </c>
      <c r="J65" s="2" t="s">
        <v>27</v>
      </c>
      <c r="K65" s="3">
        <v>3.3680555555555556E-3</v>
      </c>
      <c r="L65" s="3">
        <v>4.1898148148148146E-3</v>
      </c>
      <c r="M65" s="3"/>
      <c r="N65" s="3">
        <v>5.6597222222222222E-3</v>
      </c>
      <c r="O65" s="4">
        <f t="shared" si="1"/>
        <v>3.3</v>
      </c>
      <c r="P65" s="2" t="s">
        <v>558</v>
      </c>
      <c r="Q65" s="2"/>
    </row>
    <row r="66" spans="1:17" x14ac:dyDescent="0.3">
      <c r="A66" s="5">
        <v>62</v>
      </c>
      <c r="B66" s="5" t="s">
        <v>328</v>
      </c>
      <c r="C66" s="5" t="s">
        <v>329</v>
      </c>
      <c r="D66" s="5" t="s">
        <v>325</v>
      </c>
      <c r="E66" s="5" t="s">
        <v>330</v>
      </c>
      <c r="F66" s="5" t="s">
        <v>331</v>
      </c>
      <c r="G66" s="5" t="s">
        <v>67</v>
      </c>
      <c r="H66" s="5" t="s">
        <v>25</v>
      </c>
      <c r="I66" s="5" t="s">
        <v>26</v>
      </c>
      <c r="J66" s="5" t="s">
        <v>27</v>
      </c>
      <c r="K66" s="6">
        <v>8.1192129629629628E-2</v>
      </c>
      <c r="L66" s="6">
        <v>8.1817129629629629E-2</v>
      </c>
      <c r="M66" s="6"/>
      <c r="N66" s="6">
        <v>8.3831018518518513E-2</v>
      </c>
      <c r="O66" s="7">
        <f t="shared" si="1"/>
        <v>3.7999999999999945</v>
      </c>
      <c r="P66" s="5" t="s">
        <v>558</v>
      </c>
      <c r="Q66" s="5"/>
    </row>
    <row r="67" spans="1:17" x14ac:dyDescent="0.3">
      <c r="A67" s="2">
        <v>63</v>
      </c>
      <c r="B67" s="2" t="s">
        <v>332</v>
      </c>
      <c r="C67" s="2" t="s">
        <v>333</v>
      </c>
      <c r="D67" s="2" t="s">
        <v>334</v>
      </c>
      <c r="E67" s="2" t="s">
        <v>335</v>
      </c>
      <c r="F67" s="2" t="s">
        <v>336</v>
      </c>
      <c r="G67" s="2" t="s">
        <v>67</v>
      </c>
      <c r="H67" s="2" t="s">
        <v>25</v>
      </c>
      <c r="I67" s="2" t="s">
        <v>26</v>
      </c>
      <c r="J67" s="2" t="s">
        <v>27</v>
      </c>
      <c r="K67" s="3">
        <v>0.56008101851851855</v>
      </c>
      <c r="L67" s="3">
        <v>0.56068287037037035</v>
      </c>
      <c r="M67" s="3"/>
      <c r="N67" s="3">
        <v>0.5615162037037037</v>
      </c>
      <c r="O67" s="4">
        <f t="shared" si="1"/>
        <v>2.0666666666666167</v>
      </c>
      <c r="P67" s="2" t="s">
        <v>558</v>
      </c>
      <c r="Q67" s="2"/>
    </row>
    <row r="68" spans="1:17" x14ac:dyDescent="0.3">
      <c r="A68" s="5">
        <v>64</v>
      </c>
      <c r="B68" s="5" t="s">
        <v>337</v>
      </c>
      <c r="C68" s="5" t="s">
        <v>338</v>
      </c>
      <c r="D68" s="5" t="s">
        <v>339</v>
      </c>
      <c r="E68" s="5" t="s">
        <v>340</v>
      </c>
      <c r="F68" s="5" t="s">
        <v>341</v>
      </c>
      <c r="G68" s="5" t="s">
        <v>24</v>
      </c>
      <c r="H68" s="5" t="s">
        <v>25</v>
      </c>
      <c r="I68" s="5" t="s">
        <v>26</v>
      </c>
      <c r="J68" s="5" t="s">
        <v>27</v>
      </c>
      <c r="K68" s="6">
        <v>0.41086805555555556</v>
      </c>
      <c r="L68" s="6">
        <v>0.41196759259259258</v>
      </c>
      <c r="M68" s="6"/>
      <c r="N68" s="6">
        <v>0.41549768518518521</v>
      </c>
      <c r="O68" s="7">
        <f t="shared" si="1"/>
        <v>6.6666666666666963</v>
      </c>
      <c r="P68" s="5" t="s">
        <v>561</v>
      </c>
      <c r="Q68" s="5" t="s">
        <v>575</v>
      </c>
    </row>
    <row r="69" spans="1:17" x14ac:dyDescent="0.3">
      <c r="A69" s="2">
        <v>65</v>
      </c>
      <c r="B69" s="2" t="s">
        <v>342</v>
      </c>
      <c r="C69" s="2" t="s">
        <v>343</v>
      </c>
      <c r="D69" s="2" t="s">
        <v>339</v>
      </c>
      <c r="E69" s="2" t="s">
        <v>344</v>
      </c>
      <c r="F69" s="2" t="s">
        <v>345</v>
      </c>
      <c r="G69" s="2" t="s">
        <v>24</v>
      </c>
      <c r="H69" s="2" t="s">
        <v>25</v>
      </c>
      <c r="I69" s="2" t="s">
        <v>26</v>
      </c>
      <c r="J69" s="2" t="s">
        <v>27</v>
      </c>
      <c r="K69" s="3">
        <v>0.39402777777777775</v>
      </c>
      <c r="L69" s="3">
        <v>0.39462962962962961</v>
      </c>
      <c r="M69" s="3"/>
      <c r="N69" s="3">
        <v>0.39508101851851851</v>
      </c>
      <c r="O69" s="4">
        <f t="shared" ref="O69:O100" si="2">IF(AND(ISNUMBER(K69),ISNUMBER(N69)),(N69-K69)*1440,"")</f>
        <v>1.5166666666666906</v>
      </c>
      <c r="P69" s="2" t="s">
        <v>558</v>
      </c>
      <c r="Q69" s="2"/>
    </row>
    <row r="70" spans="1:17" x14ac:dyDescent="0.3">
      <c r="A70" s="5">
        <v>66</v>
      </c>
      <c r="B70" s="5" t="s">
        <v>346</v>
      </c>
      <c r="C70" s="5" t="s">
        <v>347</v>
      </c>
      <c r="D70" s="5" t="s">
        <v>339</v>
      </c>
      <c r="E70" s="5" t="s">
        <v>348</v>
      </c>
      <c r="F70" s="5" t="s">
        <v>349</v>
      </c>
      <c r="G70" s="5" t="s">
        <v>24</v>
      </c>
      <c r="H70" s="5" t="s">
        <v>25</v>
      </c>
      <c r="I70" s="5" t="s">
        <v>26</v>
      </c>
      <c r="J70" s="5" t="s">
        <v>27</v>
      </c>
      <c r="K70" s="6">
        <v>0.57285879629629632</v>
      </c>
      <c r="L70" s="6">
        <v>0.57313657407407403</v>
      </c>
      <c r="M70" s="6"/>
      <c r="N70" s="6">
        <v>0.57447916666666665</v>
      </c>
      <c r="O70" s="7">
        <f t="shared" si="2"/>
        <v>2.3333333333332718</v>
      </c>
      <c r="P70" s="5" t="s">
        <v>558</v>
      </c>
      <c r="Q70" s="5"/>
    </row>
    <row r="71" spans="1:17" x14ac:dyDescent="0.3">
      <c r="A71" s="2">
        <v>67</v>
      </c>
      <c r="B71" s="2" t="s">
        <v>350</v>
      </c>
      <c r="C71" s="2" t="s">
        <v>351</v>
      </c>
      <c r="D71" s="2" t="s">
        <v>352</v>
      </c>
      <c r="E71" s="2" t="s">
        <v>353</v>
      </c>
      <c r="F71" s="2" t="s">
        <v>354</v>
      </c>
      <c r="G71" s="2" t="s">
        <v>67</v>
      </c>
      <c r="H71" s="2" t="s">
        <v>25</v>
      </c>
      <c r="I71" s="2" t="s">
        <v>26</v>
      </c>
      <c r="J71" s="2" t="s">
        <v>27</v>
      </c>
      <c r="K71" s="3">
        <v>0.81667824074074069</v>
      </c>
      <c r="L71" s="3">
        <v>0.81667824074074069</v>
      </c>
      <c r="M71" s="3"/>
      <c r="N71" s="3">
        <v>0.81707175925925923</v>
      </c>
      <c r="O71" s="4">
        <f t="shared" si="2"/>
        <v>0.56666666666670196</v>
      </c>
      <c r="P71" s="2" t="s">
        <v>561</v>
      </c>
      <c r="Q71" s="2" t="s">
        <v>567</v>
      </c>
    </row>
    <row r="72" spans="1:17" x14ac:dyDescent="0.3">
      <c r="A72" s="5">
        <v>68</v>
      </c>
      <c r="B72" s="5" t="s">
        <v>355</v>
      </c>
      <c r="C72" s="5" t="s">
        <v>356</v>
      </c>
      <c r="D72" s="5" t="s">
        <v>357</v>
      </c>
      <c r="E72" s="5" t="s">
        <v>358</v>
      </c>
      <c r="F72" s="5" t="s">
        <v>359</v>
      </c>
      <c r="G72" s="5" t="s">
        <v>33</v>
      </c>
      <c r="H72" s="5" t="s">
        <v>25</v>
      </c>
      <c r="I72" s="5" t="s">
        <v>26</v>
      </c>
      <c r="J72" s="5" t="s">
        <v>27</v>
      </c>
      <c r="K72" s="6">
        <v>0.88761574074074079</v>
      </c>
      <c r="L72" s="6">
        <v>0.88782407407407404</v>
      </c>
      <c r="M72" s="6"/>
      <c r="N72" s="6">
        <v>0.89074074074074072</v>
      </c>
      <c r="O72" s="7">
        <f t="shared" si="2"/>
        <v>4.4999999999999041</v>
      </c>
      <c r="P72" s="5" t="s">
        <v>558</v>
      </c>
      <c r="Q72" s="5"/>
    </row>
    <row r="73" spans="1:17" x14ac:dyDescent="0.3">
      <c r="A73" s="2">
        <v>69</v>
      </c>
      <c r="B73" s="2" t="s">
        <v>360</v>
      </c>
      <c r="C73" s="2" t="s">
        <v>361</v>
      </c>
      <c r="D73" s="2" t="s">
        <v>362</v>
      </c>
      <c r="E73" s="2" t="s">
        <v>363</v>
      </c>
      <c r="F73" s="2" t="s">
        <v>364</v>
      </c>
      <c r="G73" s="2" t="s">
        <v>55</v>
      </c>
      <c r="H73" s="2" t="s">
        <v>56</v>
      </c>
      <c r="I73" s="2" t="s">
        <v>26</v>
      </c>
      <c r="J73" s="2" t="s">
        <v>27</v>
      </c>
      <c r="K73" s="3">
        <v>0.54818287037037039</v>
      </c>
      <c r="L73" s="3">
        <v>0.54902777777777778</v>
      </c>
      <c r="M73" s="3"/>
      <c r="N73" s="3">
        <v>0.55221064814814813</v>
      </c>
      <c r="O73" s="4">
        <f t="shared" si="2"/>
        <v>5.7999999999999474</v>
      </c>
      <c r="P73" s="2" t="s">
        <v>558</v>
      </c>
      <c r="Q73" s="2"/>
    </row>
    <row r="74" spans="1:17" x14ac:dyDescent="0.3">
      <c r="A74" s="5">
        <v>70</v>
      </c>
      <c r="B74" s="5" t="s">
        <v>365</v>
      </c>
      <c r="C74" s="5" t="s">
        <v>366</v>
      </c>
      <c r="D74" s="5" t="s">
        <v>367</v>
      </c>
      <c r="E74" s="5" t="s">
        <v>368</v>
      </c>
      <c r="F74" s="5" t="s">
        <v>369</v>
      </c>
      <c r="G74" s="5" t="s">
        <v>44</v>
      </c>
      <c r="H74" s="5" t="s">
        <v>25</v>
      </c>
      <c r="I74" s="5" t="s">
        <v>26</v>
      </c>
      <c r="J74" s="5" t="s">
        <v>27</v>
      </c>
      <c r="K74" s="6">
        <v>0.55459490740740736</v>
      </c>
      <c r="L74" s="6">
        <v>0.55484953703703699</v>
      </c>
      <c r="M74" s="6"/>
      <c r="N74" s="6">
        <v>0.55571759259259257</v>
      </c>
      <c r="O74" s="7">
        <f t="shared" si="2"/>
        <v>1.6166666666667062</v>
      </c>
      <c r="P74" s="5" t="s">
        <v>558</v>
      </c>
      <c r="Q74" s="5" t="s">
        <v>562</v>
      </c>
    </row>
    <row r="75" spans="1:17" x14ac:dyDescent="0.3">
      <c r="A75" s="2">
        <v>71</v>
      </c>
      <c r="B75" s="2" t="s">
        <v>370</v>
      </c>
      <c r="C75" s="2" t="s">
        <v>371</v>
      </c>
      <c r="D75" s="2" t="s">
        <v>372</v>
      </c>
      <c r="E75" s="2" t="s">
        <v>373</v>
      </c>
      <c r="F75" s="2" t="s">
        <v>374</v>
      </c>
      <c r="G75" s="2" t="s">
        <v>24</v>
      </c>
      <c r="H75" s="2" t="s">
        <v>25</v>
      </c>
      <c r="I75" s="2" t="s">
        <v>26</v>
      </c>
      <c r="J75" s="2" t="s">
        <v>27</v>
      </c>
      <c r="K75" s="3">
        <v>0.27885416666666668</v>
      </c>
      <c r="L75" s="3">
        <v>0.27960648148148148</v>
      </c>
      <c r="M75" s="3"/>
      <c r="N75" s="3">
        <v>0.27967592592592594</v>
      </c>
      <c r="O75" s="4">
        <f t="shared" si="2"/>
        <v>1.1833333333333318</v>
      </c>
      <c r="P75" s="2" t="s">
        <v>558</v>
      </c>
      <c r="Q75" s="2" t="s">
        <v>562</v>
      </c>
    </row>
    <row r="76" spans="1:17" x14ac:dyDescent="0.3">
      <c r="A76" s="5">
        <v>72</v>
      </c>
      <c r="B76" s="5" t="s">
        <v>375</v>
      </c>
      <c r="C76" s="5" t="s">
        <v>376</v>
      </c>
      <c r="D76" s="5" t="s">
        <v>377</v>
      </c>
      <c r="E76" s="5" t="s">
        <v>378</v>
      </c>
      <c r="F76" s="5" t="s">
        <v>379</v>
      </c>
      <c r="G76" s="5" t="s">
        <v>44</v>
      </c>
      <c r="H76" s="5" t="s">
        <v>25</v>
      </c>
      <c r="I76" s="5" t="s">
        <v>26</v>
      </c>
      <c r="J76" s="5" t="s">
        <v>27</v>
      </c>
      <c r="K76" s="6">
        <v>0.41787037037037039</v>
      </c>
      <c r="L76" s="6">
        <v>0.41920138888888892</v>
      </c>
      <c r="M76" s="6"/>
      <c r="N76" s="6">
        <v>0.4201273148148148</v>
      </c>
      <c r="O76" s="7">
        <f t="shared" si="2"/>
        <v>3.2499999999999485</v>
      </c>
      <c r="P76" s="5" t="s">
        <v>558</v>
      </c>
      <c r="Q76" s="5"/>
    </row>
    <row r="77" spans="1:17" x14ac:dyDescent="0.3">
      <c r="A77" s="2">
        <v>73</v>
      </c>
      <c r="B77" s="2" t="s">
        <v>380</v>
      </c>
      <c r="C77" s="2" t="s">
        <v>381</v>
      </c>
      <c r="D77" s="2" t="s">
        <v>377</v>
      </c>
      <c r="E77" s="2" t="s">
        <v>382</v>
      </c>
      <c r="F77" s="2" t="s">
        <v>383</v>
      </c>
      <c r="G77" s="2" t="s">
        <v>44</v>
      </c>
      <c r="H77" s="2" t="s">
        <v>25</v>
      </c>
      <c r="I77" s="2" t="s">
        <v>26</v>
      </c>
      <c r="J77" s="2" t="s">
        <v>27</v>
      </c>
      <c r="K77" s="3">
        <v>0.45857638888888891</v>
      </c>
      <c r="L77" s="3">
        <v>0.4591898148148148</v>
      </c>
      <c r="M77" s="3"/>
      <c r="N77" s="3">
        <v>0.4601736111111111</v>
      </c>
      <c r="O77" s="4">
        <f t="shared" si="2"/>
        <v>2.2999999999999599</v>
      </c>
      <c r="P77" s="2" t="s">
        <v>558</v>
      </c>
      <c r="Q77" s="2" t="s">
        <v>576</v>
      </c>
    </row>
    <row r="78" spans="1:17" x14ac:dyDescent="0.3">
      <c r="A78" s="5">
        <v>74</v>
      </c>
      <c r="B78" s="5" t="s">
        <v>384</v>
      </c>
      <c r="C78" s="5" t="s">
        <v>385</v>
      </c>
      <c r="D78" s="5" t="s">
        <v>386</v>
      </c>
      <c r="E78" s="5" t="s">
        <v>387</v>
      </c>
      <c r="F78" s="5" t="s">
        <v>388</v>
      </c>
      <c r="G78" s="5" t="s">
        <v>78</v>
      </c>
      <c r="H78" s="5" t="s">
        <v>25</v>
      </c>
      <c r="I78" s="5" t="s">
        <v>26</v>
      </c>
      <c r="J78" s="5" t="s">
        <v>27</v>
      </c>
      <c r="K78" s="6">
        <v>0.64910879629629625</v>
      </c>
      <c r="L78" s="6">
        <v>0.65020833333333339</v>
      </c>
      <c r="M78" s="6"/>
      <c r="N78" s="6">
        <v>0.65087962962962964</v>
      </c>
      <c r="O78" s="7">
        <f t="shared" si="2"/>
        <v>2.5500000000000789</v>
      </c>
      <c r="P78" s="5" t="s">
        <v>558</v>
      </c>
      <c r="Q78" s="5" t="s">
        <v>572</v>
      </c>
    </row>
    <row r="79" spans="1:17" x14ac:dyDescent="0.3">
      <c r="A79" s="2">
        <v>75</v>
      </c>
      <c r="B79" s="2" t="s">
        <v>389</v>
      </c>
      <c r="C79" s="2" t="s">
        <v>390</v>
      </c>
      <c r="D79" s="2" t="s">
        <v>391</v>
      </c>
      <c r="E79" s="2" t="s">
        <v>392</v>
      </c>
      <c r="F79" s="2" t="s">
        <v>393</v>
      </c>
      <c r="G79" s="2" t="s">
        <v>33</v>
      </c>
      <c r="H79" s="2" t="s">
        <v>25</v>
      </c>
      <c r="I79" s="2" t="s">
        <v>26</v>
      </c>
      <c r="J79" s="2" t="s">
        <v>27</v>
      </c>
      <c r="K79" s="3">
        <v>0.56182870370370375</v>
      </c>
      <c r="L79" s="3">
        <v>0.56226851851851856</v>
      </c>
      <c r="M79" s="3"/>
      <c r="N79" s="3">
        <v>0.56274305555555559</v>
      </c>
      <c r="O79" s="4">
        <f t="shared" si="2"/>
        <v>1.3166666666666593</v>
      </c>
      <c r="P79" s="2" t="s">
        <v>558</v>
      </c>
      <c r="Q79" s="2" t="s">
        <v>562</v>
      </c>
    </row>
    <row r="80" spans="1:17" x14ac:dyDescent="0.3">
      <c r="A80" s="5">
        <v>76</v>
      </c>
      <c r="B80" s="5" t="s">
        <v>394</v>
      </c>
      <c r="C80" s="5" t="s">
        <v>395</v>
      </c>
      <c r="D80" s="5" t="s">
        <v>396</v>
      </c>
      <c r="E80" s="5" t="s">
        <v>397</v>
      </c>
      <c r="F80" s="5" t="s">
        <v>398</v>
      </c>
      <c r="G80" s="5" t="s">
        <v>44</v>
      </c>
      <c r="H80" s="5" t="s">
        <v>25</v>
      </c>
      <c r="I80" s="5" t="s">
        <v>26</v>
      </c>
      <c r="J80" s="5" t="s">
        <v>27</v>
      </c>
      <c r="K80" s="6">
        <v>0.50167824074074074</v>
      </c>
      <c r="L80" s="6">
        <v>0.50182870370370369</v>
      </c>
      <c r="M80" s="6"/>
      <c r="N80" s="6">
        <v>0.50268518518518523</v>
      </c>
      <c r="O80" s="7">
        <f t="shared" si="2"/>
        <v>1.4500000000000668</v>
      </c>
      <c r="P80" s="5" t="s">
        <v>558</v>
      </c>
      <c r="Q80" s="5" t="s">
        <v>562</v>
      </c>
    </row>
    <row r="81" spans="1:17" x14ac:dyDescent="0.3">
      <c r="A81" s="2">
        <v>77</v>
      </c>
      <c r="B81" s="2" t="s">
        <v>399</v>
      </c>
      <c r="C81" s="2" t="s">
        <v>400</v>
      </c>
      <c r="D81" s="2" t="s">
        <v>401</v>
      </c>
      <c r="E81" s="2" t="s">
        <v>402</v>
      </c>
      <c r="F81" s="2" t="s">
        <v>403</v>
      </c>
      <c r="G81" s="2" t="s">
        <v>136</v>
      </c>
      <c r="H81" s="2" t="s">
        <v>56</v>
      </c>
      <c r="I81" s="2" t="s">
        <v>26</v>
      </c>
      <c r="J81" s="2" t="s">
        <v>27</v>
      </c>
      <c r="K81" s="3">
        <v>0.46049768518518519</v>
      </c>
      <c r="L81" s="3">
        <v>0.46119212962962963</v>
      </c>
      <c r="M81" s="3"/>
      <c r="N81" s="3">
        <v>0.46288194444444447</v>
      </c>
      <c r="O81" s="4">
        <f t="shared" si="2"/>
        <v>3.4333333333333638</v>
      </c>
      <c r="P81" s="2" t="s">
        <v>558</v>
      </c>
      <c r="Q81" s="2"/>
    </row>
    <row r="82" spans="1:17" x14ac:dyDescent="0.3">
      <c r="A82" s="5">
        <v>78</v>
      </c>
      <c r="B82" s="5" t="s">
        <v>404</v>
      </c>
      <c r="C82" s="5" t="s">
        <v>405</v>
      </c>
      <c r="D82" s="5" t="s">
        <v>406</v>
      </c>
      <c r="E82" s="5" t="s">
        <v>407</v>
      </c>
      <c r="F82" s="5" t="s">
        <v>408</v>
      </c>
      <c r="G82" s="5" t="s">
        <v>55</v>
      </c>
      <c r="H82" s="5" t="s">
        <v>56</v>
      </c>
      <c r="I82" s="5" t="s">
        <v>26</v>
      </c>
      <c r="J82" s="5" t="s">
        <v>27</v>
      </c>
      <c r="K82" s="6">
        <v>0.69283564814814813</v>
      </c>
      <c r="L82" s="6">
        <v>0.69317129629629626</v>
      </c>
      <c r="M82" s="6"/>
      <c r="N82" s="6">
        <v>0.69377314814814817</v>
      </c>
      <c r="O82" s="7">
        <f t="shared" si="2"/>
        <v>1.3500000000000512</v>
      </c>
      <c r="P82" s="5" t="s">
        <v>558</v>
      </c>
      <c r="Q82" s="5"/>
    </row>
    <row r="83" spans="1:17" x14ac:dyDescent="0.3">
      <c r="A83" s="2">
        <v>79</v>
      </c>
      <c r="B83" s="2" t="s">
        <v>409</v>
      </c>
      <c r="C83" s="2" t="s">
        <v>410</v>
      </c>
      <c r="D83" s="2" t="s">
        <v>411</v>
      </c>
      <c r="E83" s="2" t="s">
        <v>412</v>
      </c>
      <c r="F83" s="2" t="s">
        <v>413</v>
      </c>
      <c r="G83" s="2" t="s">
        <v>136</v>
      </c>
      <c r="H83" s="2" t="s">
        <v>56</v>
      </c>
      <c r="I83" s="2" t="s">
        <v>26</v>
      </c>
      <c r="J83" s="2" t="s">
        <v>27</v>
      </c>
      <c r="K83" s="3">
        <v>0.61987268518518523</v>
      </c>
      <c r="L83" s="3">
        <v>0.62033564814814812</v>
      </c>
      <c r="M83" s="3"/>
      <c r="N83" s="3">
        <v>0.62092592592592588</v>
      </c>
      <c r="O83" s="4">
        <f t="shared" si="2"/>
        <v>1.5166666666665307</v>
      </c>
      <c r="P83" s="2" t="s">
        <v>558</v>
      </c>
      <c r="Q83" s="2" t="s">
        <v>562</v>
      </c>
    </row>
    <row r="84" spans="1:17" x14ac:dyDescent="0.3">
      <c r="A84" s="5">
        <v>80</v>
      </c>
      <c r="B84" s="5" t="s">
        <v>414</v>
      </c>
      <c r="C84" s="5" t="s">
        <v>415</v>
      </c>
      <c r="D84" s="5" t="s">
        <v>416</v>
      </c>
      <c r="E84" s="5" t="s">
        <v>417</v>
      </c>
      <c r="F84" s="5" t="s">
        <v>418</v>
      </c>
      <c r="G84" s="5" t="s">
        <v>78</v>
      </c>
      <c r="H84" s="5" t="s">
        <v>25</v>
      </c>
      <c r="I84" s="5" t="s">
        <v>26</v>
      </c>
      <c r="J84" s="5" t="s">
        <v>27</v>
      </c>
      <c r="K84" s="6">
        <v>0.67379629629629634</v>
      </c>
      <c r="L84" s="6">
        <v>0.67478009259259264</v>
      </c>
      <c r="M84" s="6"/>
      <c r="N84" s="6">
        <v>0.67478009259259264</v>
      </c>
      <c r="O84" s="7">
        <f t="shared" si="2"/>
        <v>1.416666666666675</v>
      </c>
      <c r="P84" s="5" t="s">
        <v>561</v>
      </c>
      <c r="Q84" s="5" t="s">
        <v>562</v>
      </c>
    </row>
    <row r="85" spans="1:17" x14ac:dyDescent="0.3">
      <c r="A85" s="2">
        <v>81</v>
      </c>
      <c r="B85" s="2" t="s">
        <v>419</v>
      </c>
      <c r="C85" s="2" t="s">
        <v>420</v>
      </c>
      <c r="D85" s="2" t="s">
        <v>421</v>
      </c>
      <c r="E85" s="2" t="s">
        <v>422</v>
      </c>
      <c r="F85" s="2" t="s">
        <v>423</v>
      </c>
      <c r="G85" s="2" t="s">
        <v>33</v>
      </c>
      <c r="H85" s="2" t="s">
        <v>25</v>
      </c>
      <c r="I85" s="2" t="s">
        <v>26</v>
      </c>
      <c r="J85" s="2" t="s">
        <v>27</v>
      </c>
      <c r="K85" s="3">
        <v>0.70548611111111115</v>
      </c>
      <c r="L85" s="3">
        <v>0.70600694444444445</v>
      </c>
      <c r="M85" s="3"/>
      <c r="N85" s="3">
        <v>0.70916666666666661</v>
      </c>
      <c r="O85" s="4">
        <f t="shared" si="2"/>
        <v>5.2999999999998693</v>
      </c>
      <c r="P85" s="2" t="s">
        <v>558</v>
      </c>
      <c r="Q85" s="2"/>
    </row>
    <row r="86" spans="1:17" x14ac:dyDescent="0.3">
      <c r="A86" s="5">
        <v>82</v>
      </c>
      <c r="B86" s="5" t="s">
        <v>424</v>
      </c>
      <c r="C86" s="5" t="s">
        <v>425</v>
      </c>
      <c r="D86" s="5" t="s">
        <v>426</v>
      </c>
      <c r="E86" s="5" t="s">
        <v>427</v>
      </c>
      <c r="F86" s="5" t="s">
        <v>428</v>
      </c>
      <c r="G86" s="5" t="s">
        <v>44</v>
      </c>
      <c r="H86" s="5" t="s">
        <v>25</v>
      </c>
      <c r="I86" s="5" t="s">
        <v>26</v>
      </c>
      <c r="J86" s="5" t="s">
        <v>27</v>
      </c>
      <c r="K86" s="6">
        <v>0.68490740740740741</v>
      </c>
      <c r="L86" s="6">
        <v>0.68530092592592595</v>
      </c>
      <c r="M86" s="6"/>
      <c r="N86" s="6">
        <v>0.68612268518518515</v>
      </c>
      <c r="O86" s="7">
        <f t="shared" si="2"/>
        <v>1.7499999999999538</v>
      </c>
      <c r="P86" s="5" t="s">
        <v>558</v>
      </c>
      <c r="Q86" s="5" t="s">
        <v>562</v>
      </c>
    </row>
    <row r="87" spans="1:17" x14ac:dyDescent="0.3">
      <c r="A87" s="2">
        <v>83</v>
      </c>
      <c r="B87" s="2" t="s">
        <v>429</v>
      </c>
      <c r="C87" s="2" t="s">
        <v>430</v>
      </c>
      <c r="D87" s="2" t="s">
        <v>431</v>
      </c>
      <c r="E87" s="2" t="s">
        <v>432</v>
      </c>
      <c r="F87" s="2" t="s">
        <v>433</v>
      </c>
      <c r="G87" s="2" t="s">
        <v>78</v>
      </c>
      <c r="H87" s="2" t="s">
        <v>25</v>
      </c>
      <c r="I87" s="2" t="s">
        <v>26</v>
      </c>
      <c r="J87" s="2" t="s">
        <v>27</v>
      </c>
      <c r="K87" s="3">
        <v>0.29472222222222222</v>
      </c>
      <c r="L87" s="3">
        <v>0.2958101851851852</v>
      </c>
      <c r="M87" s="3"/>
      <c r="N87" s="3">
        <v>0.29697916666666668</v>
      </c>
      <c r="O87" s="4">
        <f t="shared" si="2"/>
        <v>3.2500000000000284</v>
      </c>
      <c r="P87" s="2" t="s">
        <v>558</v>
      </c>
      <c r="Q87" s="2" t="s">
        <v>562</v>
      </c>
    </row>
    <row r="88" spans="1:17" x14ac:dyDescent="0.3">
      <c r="A88" s="5">
        <v>84</v>
      </c>
      <c r="B88" s="5" t="s">
        <v>434</v>
      </c>
      <c r="C88" s="5" t="s">
        <v>435</v>
      </c>
      <c r="D88" s="5" t="s">
        <v>431</v>
      </c>
      <c r="E88" s="5" t="s">
        <v>436</v>
      </c>
      <c r="F88" s="5" t="s">
        <v>437</v>
      </c>
      <c r="G88" s="5" t="s">
        <v>78</v>
      </c>
      <c r="H88" s="5" t="s">
        <v>25</v>
      </c>
      <c r="I88" s="5" t="s">
        <v>26</v>
      </c>
      <c r="J88" s="5" t="s">
        <v>27</v>
      </c>
      <c r="K88" s="6">
        <v>0.49233796296296295</v>
      </c>
      <c r="L88" s="6">
        <v>0.4929398148148148</v>
      </c>
      <c r="M88" s="6"/>
      <c r="N88" s="6">
        <v>0.4934027777777778</v>
      </c>
      <c r="O88" s="7">
        <f t="shared" si="2"/>
        <v>1.5333333333333865</v>
      </c>
      <c r="P88" s="5" t="s">
        <v>558</v>
      </c>
      <c r="Q88" s="5"/>
    </row>
    <row r="89" spans="1:17" x14ac:dyDescent="0.3">
      <c r="A89" s="2">
        <v>85</v>
      </c>
      <c r="B89" s="2" t="s">
        <v>438</v>
      </c>
      <c r="C89" s="2" t="s">
        <v>439</v>
      </c>
      <c r="D89" s="2" t="s">
        <v>440</v>
      </c>
      <c r="E89" s="2" t="s">
        <v>441</v>
      </c>
      <c r="F89" s="2" t="s">
        <v>442</v>
      </c>
      <c r="G89" s="2" t="s">
        <v>44</v>
      </c>
      <c r="H89" s="2" t="s">
        <v>25</v>
      </c>
      <c r="I89" s="2" t="s">
        <v>26</v>
      </c>
      <c r="J89" s="2" t="s">
        <v>27</v>
      </c>
      <c r="K89" s="3">
        <v>1.8217592592592594E-2</v>
      </c>
      <c r="L89" s="3">
        <v>1.8645833333333334E-2</v>
      </c>
      <c r="M89" s="3"/>
      <c r="N89" s="3">
        <v>2.2025462962962962E-2</v>
      </c>
      <c r="O89" s="4">
        <f t="shared" si="2"/>
        <v>5.4833333333333298</v>
      </c>
      <c r="P89" s="2" t="s">
        <v>558</v>
      </c>
      <c r="Q89" s="2"/>
    </row>
    <row r="90" spans="1:17" x14ac:dyDescent="0.3">
      <c r="A90" s="5">
        <v>86</v>
      </c>
      <c r="B90" s="5" t="s">
        <v>443</v>
      </c>
      <c r="C90" s="5" t="s">
        <v>444</v>
      </c>
      <c r="D90" s="5" t="s">
        <v>445</v>
      </c>
      <c r="E90" s="5" t="s">
        <v>446</v>
      </c>
      <c r="F90" s="5" t="s">
        <v>447</v>
      </c>
      <c r="G90" s="5" t="s">
        <v>78</v>
      </c>
      <c r="H90" s="5" t="s">
        <v>25</v>
      </c>
      <c r="I90" s="5" t="s">
        <v>26</v>
      </c>
      <c r="J90" s="5" t="s">
        <v>27</v>
      </c>
      <c r="K90" s="6">
        <v>0.58568287037037037</v>
      </c>
      <c r="L90" s="6">
        <v>0.58568287037037037</v>
      </c>
      <c r="M90" s="6"/>
      <c r="N90" s="6">
        <v>0.58755787037037033</v>
      </c>
      <c r="O90" s="7">
        <f t="shared" si="2"/>
        <v>2.6999999999999424</v>
      </c>
      <c r="P90" s="5" t="s">
        <v>561</v>
      </c>
      <c r="Q90" s="5" t="s">
        <v>567</v>
      </c>
    </row>
    <row r="91" spans="1:17" x14ac:dyDescent="0.3">
      <c r="A91" s="2">
        <v>87</v>
      </c>
      <c r="B91" s="2" t="s">
        <v>448</v>
      </c>
      <c r="C91" s="2" t="s">
        <v>449</v>
      </c>
      <c r="D91" s="2" t="s">
        <v>445</v>
      </c>
      <c r="E91" s="2" t="s">
        <v>450</v>
      </c>
      <c r="F91" s="2" t="s">
        <v>451</v>
      </c>
      <c r="G91" s="2" t="s">
        <v>78</v>
      </c>
      <c r="H91" s="2" t="s">
        <v>25</v>
      </c>
      <c r="I91" s="2" t="s">
        <v>26</v>
      </c>
      <c r="J91" s="2" t="s">
        <v>27</v>
      </c>
      <c r="K91" s="3">
        <v>0.83458333333333334</v>
      </c>
      <c r="L91" s="3">
        <v>0.83521990740740737</v>
      </c>
      <c r="M91" s="3"/>
      <c r="N91" s="3">
        <v>0.84474537037037034</v>
      </c>
      <c r="O91" s="4">
        <f t="shared" si="2"/>
        <v>14.633333333333276</v>
      </c>
      <c r="P91" s="2" t="s">
        <v>558</v>
      </c>
      <c r="Q91" s="2"/>
    </row>
    <row r="92" spans="1:17" x14ac:dyDescent="0.3">
      <c r="A92" s="5">
        <v>88</v>
      </c>
      <c r="B92" s="5" t="s">
        <v>452</v>
      </c>
      <c r="C92" s="5" t="s">
        <v>453</v>
      </c>
      <c r="D92" s="5" t="s">
        <v>454</v>
      </c>
      <c r="E92" s="5" t="s">
        <v>455</v>
      </c>
      <c r="F92" s="5" t="s">
        <v>456</v>
      </c>
      <c r="G92" s="5" t="s">
        <v>33</v>
      </c>
      <c r="H92" s="5" t="s">
        <v>25</v>
      </c>
      <c r="I92" s="5" t="s">
        <v>26</v>
      </c>
      <c r="J92" s="5" t="s">
        <v>27</v>
      </c>
      <c r="K92" s="6">
        <v>0.37034722222222222</v>
      </c>
      <c r="L92" s="6">
        <v>0.37127314814814816</v>
      </c>
      <c r="M92" s="6"/>
      <c r="N92" s="6">
        <v>0.37479166666666669</v>
      </c>
      <c r="O92" s="7">
        <f t="shared" si="2"/>
        <v>6.4000000000000412</v>
      </c>
      <c r="P92" s="5" t="s">
        <v>558</v>
      </c>
      <c r="Q92" s="5"/>
    </row>
    <row r="93" spans="1:17" x14ac:dyDescent="0.3">
      <c r="A93" s="2">
        <v>89</v>
      </c>
      <c r="B93" s="2" t="s">
        <v>457</v>
      </c>
      <c r="C93" s="2" t="s">
        <v>458</v>
      </c>
      <c r="D93" s="2" t="s">
        <v>459</v>
      </c>
      <c r="E93" s="2" t="s">
        <v>460</v>
      </c>
      <c r="F93" s="2" t="s">
        <v>461</v>
      </c>
      <c r="G93" s="2" t="s">
        <v>55</v>
      </c>
      <c r="H93" s="2" t="s">
        <v>56</v>
      </c>
      <c r="I93" s="2" t="s">
        <v>26</v>
      </c>
      <c r="J93" s="2" t="s">
        <v>27</v>
      </c>
      <c r="K93" s="3">
        <v>0.59642361111111108</v>
      </c>
      <c r="L93" s="3">
        <v>0.59668981481481487</v>
      </c>
      <c r="M93" s="3"/>
      <c r="N93" s="3">
        <v>0.59807870370370375</v>
      </c>
      <c r="O93" s="4">
        <f t="shared" si="2"/>
        <v>2.3833333333334394</v>
      </c>
      <c r="P93" s="2" t="s">
        <v>558</v>
      </c>
      <c r="Q93" s="2"/>
    </row>
    <row r="94" spans="1:17" x14ac:dyDescent="0.3">
      <c r="A94" s="5">
        <v>90</v>
      </c>
      <c r="B94" s="5" t="s">
        <v>462</v>
      </c>
      <c r="C94" s="5" t="s">
        <v>463</v>
      </c>
      <c r="D94" s="5" t="s">
        <v>464</v>
      </c>
      <c r="E94" s="5" t="s">
        <v>465</v>
      </c>
      <c r="F94" s="5" t="s">
        <v>466</v>
      </c>
      <c r="G94" s="5" t="s">
        <v>24</v>
      </c>
      <c r="H94" s="5" t="s">
        <v>25</v>
      </c>
      <c r="I94" s="5" t="s">
        <v>26</v>
      </c>
      <c r="J94" s="5" t="s">
        <v>27</v>
      </c>
      <c r="K94" s="6">
        <v>1.9525462962962963E-2</v>
      </c>
      <c r="L94" s="6">
        <v>1.9837962962962963E-2</v>
      </c>
      <c r="M94" s="6"/>
      <c r="N94" s="6">
        <v>2.0520833333333332E-2</v>
      </c>
      <c r="O94" s="7">
        <f t="shared" si="2"/>
        <v>1.4333333333333309</v>
      </c>
      <c r="P94" s="5" t="s">
        <v>558</v>
      </c>
      <c r="Q94" s="5" t="s">
        <v>562</v>
      </c>
    </row>
    <row r="95" spans="1:17" x14ac:dyDescent="0.3">
      <c r="A95" s="2">
        <v>91</v>
      </c>
      <c r="B95" s="2" t="s">
        <v>467</v>
      </c>
      <c r="C95" s="2" t="s">
        <v>468</v>
      </c>
      <c r="D95" s="2" t="s">
        <v>469</v>
      </c>
      <c r="E95" s="2" t="s">
        <v>470</v>
      </c>
      <c r="F95" s="2" t="s">
        <v>471</v>
      </c>
      <c r="G95" s="2" t="s">
        <v>55</v>
      </c>
      <c r="H95" s="2" t="s">
        <v>56</v>
      </c>
      <c r="I95" s="2" t="s">
        <v>26</v>
      </c>
      <c r="J95" s="2" t="s">
        <v>27</v>
      </c>
      <c r="K95" s="3">
        <v>0.88011574074074073</v>
      </c>
      <c r="L95" s="3">
        <v>0.88035879629629632</v>
      </c>
      <c r="M95" s="3"/>
      <c r="N95" s="3">
        <v>0.88348379629629625</v>
      </c>
      <c r="O95" s="4">
        <f t="shared" si="2"/>
        <v>4.8499999999999588</v>
      </c>
      <c r="P95" s="2" t="s">
        <v>558</v>
      </c>
      <c r="Q95" s="2"/>
    </row>
    <row r="96" spans="1:17" x14ac:dyDescent="0.3">
      <c r="A96" s="5">
        <v>92</v>
      </c>
      <c r="B96" s="5" t="s">
        <v>472</v>
      </c>
      <c r="C96" s="5" t="s">
        <v>473</v>
      </c>
      <c r="D96" s="5" t="s">
        <v>474</v>
      </c>
      <c r="E96" s="5" t="s">
        <v>475</v>
      </c>
      <c r="F96" s="5" t="s">
        <v>476</v>
      </c>
      <c r="G96" s="5" t="s">
        <v>33</v>
      </c>
      <c r="H96" s="5" t="s">
        <v>25</v>
      </c>
      <c r="I96" s="5" t="s">
        <v>26</v>
      </c>
      <c r="J96" s="5" t="s">
        <v>27</v>
      </c>
      <c r="K96" s="6">
        <v>0.55967592592592597</v>
      </c>
      <c r="L96" s="6">
        <v>0.56016203703703704</v>
      </c>
      <c r="M96" s="6"/>
      <c r="N96" s="6">
        <v>0.56645833333333329</v>
      </c>
      <c r="O96" s="7">
        <f t="shared" si="2"/>
        <v>9.7666666666665414</v>
      </c>
      <c r="P96" s="5" t="s">
        <v>558</v>
      </c>
      <c r="Q96" s="5"/>
    </row>
    <row r="97" spans="1:17" x14ac:dyDescent="0.3">
      <c r="A97" s="2">
        <v>93</v>
      </c>
      <c r="B97" s="2" t="s">
        <v>477</v>
      </c>
      <c r="C97" s="2" t="s">
        <v>478</v>
      </c>
      <c r="D97" s="2" t="s">
        <v>479</v>
      </c>
      <c r="E97" s="2" t="s">
        <v>480</v>
      </c>
      <c r="F97" s="2" t="s">
        <v>481</v>
      </c>
      <c r="G97" s="2" t="s">
        <v>33</v>
      </c>
      <c r="H97" s="2" t="s">
        <v>25</v>
      </c>
      <c r="I97" s="2" t="s">
        <v>26</v>
      </c>
      <c r="J97" s="2" t="s">
        <v>27</v>
      </c>
      <c r="K97" s="3">
        <v>0.81466435185185182</v>
      </c>
      <c r="L97" s="3">
        <v>0.81546296296296295</v>
      </c>
      <c r="M97" s="3"/>
      <c r="N97" s="3">
        <v>0.81706018518518519</v>
      </c>
      <c r="O97" s="4">
        <f t="shared" si="2"/>
        <v>3.4500000000000597</v>
      </c>
      <c r="P97" s="2" t="s">
        <v>558</v>
      </c>
      <c r="Q97" s="2"/>
    </row>
    <row r="98" spans="1:17" x14ac:dyDescent="0.3">
      <c r="A98" s="5">
        <v>94</v>
      </c>
      <c r="B98" s="5" t="s">
        <v>482</v>
      </c>
      <c r="C98" s="5" t="s">
        <v>483</v>
      </c>
      <c r="D98" s="5" t="s">
        <v>484</v>
      </c>
      <c r="E98" s="5" t="s">
        <v>485</v>
      </c>
      <c r="F98" s="5" t="s">
        <v>486</v>
      </c>
      <c r="G98" s="5" t="s">
        <v>33</v>
      </c>
      <c r="H98" s="5" t="s">
        <v>25</v>
      </c>
      <c r="I98" s="5" t="s">
        <v>26</v>
      </c>
      <c r="J98" s="5" t="s">
        <v>27</v>
      </c>
      <c r="K98" s="6">
        <v>0.38890046296296299</v>
      </c>
      <c r="L98" s="6">
        <v>0.38989583333333333</v>
      </c>
      <c r="M98" s="6"/>
      <c r="N98" s="6">
        <v>0.3904050925925926</v>
      </c>
      <c r="O98" s="7">
        <f t="shared" si="2"/>
        <v>2.1666666666666323</v>
      </c>
      <c r="P98" s="5" t="s">
        <v>558</v>
      </c>
      <c r="Q98" s="5"/>
    </row>
    <row r="99" spans="1:17" x14ac:dyDescent="0.3">
      <c r="A99" s="2">
        <v>95</v>
      </c>
      <c r="B99" s="2" t="s">
        <v>487</v>
      </c>
      <c r="C99" s="2" t="s">
        <v>488</v>
      </c>
      <c r="D99" s="2" t="s">
        <v>489</v>
      </c>
      <c r="E99" s="2" t="s">
        <v>490</v>
      </c>
      <c r="F99" s="2" t="s">
        <v>491</v>
      </c>
      <c r="G99" s="2" t="s">
        <v>24</v>
      </c>
      <c r="H99" s="2" t="s">
        <v>25</v>
      </c>
      <c r="I99" s="2" t="s">
        <v>26</v>
      </c>
      <c r="J99" s="2" t="s">
        <v>27</v>
      </c>
      <c r="K99" s="3">
        <v>5.3854166666666668E-2</v>
      </c>
      <c r="L99" s="3">
        <v>5.4872685185185184E-2</v>
      </c>
      <c r="M99" s="3"/>
      <c r="N99" s="3">
        <v>5.6134259259259259E-2</v>
      </c>
      <c r="O99" s="4">
        <f t="shared" si="2"/>
        <v>3.2833333333333306</v>
      </c>
      <c r="P99" s="2" t="s">
        <v>558</v>
      </c>
      <c r="Q99" s="2"/>
    </row>
    <row r="100" spans="1:17" x14ac:dyDescent="0.3">
      <c r="A100" s="5">
        <v>96</v>
      </c>
      <c r="B100" s="5" t="s">
        <v>492</v>
      </c>
      <c r="C100" s="5" t="s">
        <v>493</v>
      </c>
      <c r="D100" s="5" t="s">
        <v>494</v>
      </c>
      <c r="E100" s="5" t="s">
        <v>495</v>
      </c>
      <c r="F100" s="5" t="s">
        <v>496</v>
      </c>
      <c r="G100" s="5" t="s">
        <v>78</v>
      </c>
      <c r="H100" s="5" t="s">
        <v>25</v>
      </c>
      <c r="I100" s="5" t="s">
        <v>26</v>
      </c>
      <c r="J100" s="5" t="s">
        <v>27</v>
      </c>
      <c r="K100" s="6">
        <v>0.55983796296296295</v>
      </c>
      <c r="L100" s="6">
        <v>0.56033564814814818</v>
      </c>
      <c r="M100" s="6"/>
      <c r="N100" s="6">
        <v>0.56361111111111106</v>
      </c>
      <c r="O100" s="7">
        <f t="shared" si="2"/>
        <v>5.4333333333332767</v>
      </c>
      <c r="P100" s="5" t="s">
        <v>558</v>
      </c>
      <c r="Q100" s="5"/>
    </row>
    <row r="101" spans="1:17" x14ac:dyDescent="0.3">
      <c r="A101" s="2">
        <v>97</v>
      </c>
      <c r="B101" s="2" t="s">
        <v>497</v>
      </c>
      <c r="C101" s="2" t="s">
        <v>498</v>
      </c>
      <c r="D101" s="2" t="s">
        <v>499</v>
      </c>
      <c r="E101" s="2" t="s">
        <v>500</v>
      </c>
      <c r="F101" s="2" t="s">
        <v>501</v>
      </c>
      <c r="G101" s="2" t="s">
        <v>67</v>
      </c>
      <c r="H101" s="2" t="s">
        <v>25</v>
      </c>
      <c r="I101" s="2" t="s">
        <v>26</v>
      </c>
      <c r="J101" s="2" t="s">
        <v>27</v>
      </c>
      <c r="K101" s="3">
        <v>0.85335648148148147</v>
      </c>
      <c r="L101" s="3">
        <v>0.85375000000000001</v>
      </c>
      <c r="M101" s="3"/>
      <c r="N101" s="3">
        <v>0.85461805555555559</v>
      </c>
      <c r="O101" s="4">
        <f t="shared" ref="O101:O104" si="3">IF(AND(ISNUMBER(K101),ISNUMBER(N101)),(N101-K101)*1440,"")</f>
        <v>1.8166666666667375</v>
      </c>
      <c r="P101" s="2" t="s">
        <v>558</v>
      </c>
      <c r="Q101" s="2"/>
    </row>
    <row r="102" spans="1:17" x14ac:dyDescent="0.3">
      <c r="A102" s="5">
        <v>98</v>
      </c>
      <c r="B102" s="5" t="s">
        <v>502</v>
      </c>
      <c r="C102" s="5" t="s">
        <v>503</v>
      </c>
      <c r="D102" s="5" t="s">
        <v>504</v>
      </c>
      <c r="E102" s="5" t="s">
        <v>505</v>
      </c>
      <c r="F102" s="5" t="s">
        <v>506</v>
      </c>
      <c r="G102" s="5" t="s">
        <v>136</v>
      </c>
      <c r="H102" s="5" t="s">
        <v>56</v>
      </c>
      <c r="I102" s="5" t="s">
        <v>26</v>
      </c>
      <c r="J102" s="5" t="s">
        <v>27</v>
      </c>
      <c r="K102" s="6">
        <v>0.66809027777777774</v>
      </c>
      <c r="L102" s="6">
        <v>0.66863425925925923</v>
      </c>
      <c r="M102" s="6"/>
      <c r="N102" s="6">
        <v>0.67167824074074078</v>
      </c>
      <c r="O102" s="7">
        <f t="shared" si="3"/>
        <v>5.1666666666667815</v>
      </c>
      <c r="P102" s="5" t="s">
        <v>558</v>
      </c>
      <c r="Q102" s="5" t="s">
        <v>562</v>
      </c>
    </row>
    <row r="103" spans="1:17" x14ac:dyDescent="0.3">
      <c r="A103" s="2">
        <v>99</v>
      </c>
      <c r="B103" s="2" t="s">
        <v>507</v>
      </c>
      <c r="C103" s="2" t="s">
        <v>508</v>
      </c>
      <c r="D103" s="2" t="s">
        <v>509</v>
      </c>
      <c r="E103" s="2" t="s">
        <v>510</v>
      </c>
      <c r="F103" s="2" t="s">
        <v>511</v>
      </c>
      <c r="G103" s="2" t="s">
        <v>67</v>
      </c>
      <c r="H103" s="2" t="s">
        <v>25</v>
      </c>
      <c r="I103" s="2" t="s">
        <v>26</v>
      </c>
      <c r="J103" s="2" t="s">
        <v>27</v>
      </c>
      <c r="K103" s="3">
        <v>0.51314814814814813</v>
      </c>
      <c r="L103" s="3">
        <v>0.51361111111111113</v>
      </c>
      <c r="M103" s="3"/>
      <c r="N103" s="3">
        <v>0.5198842592592593</v>
      </c>
      <c r="O103" s="4">
        <f t="shared" si="3"/>
        <v>9.7000000000000774</v>
      </c>
      <c r="P103" s="2" t="s">
        <v>558</v>
      </c>
      <c r="Q103" s="2"/>
    </row>
    <row r="104" spans="1:17" x14ac:dyDescent="0.3">
      <c r="A104" s="5">
        <v>100</v>
      </c>
      <c r="B104" s="5" t="s">
        <v>512</v>
      </c>
      <c r="C104" s="5" t="s">
        <v>513</v>
      </c>
      <c r="D104" s="5" t="s">
        <v>514</v>
      </c>
      <c r="E104" s="5" t="s">
        <v>515</v>
      </c>
      <c r="F104" s="5" t="s">
        <v>516</v>
      </c>
      <c r="G104" s="5" t="s">
        <v>44</v>
      </c>
      <c r="H104" s="5" t="s">
        <v>25</v>
      </c>
      <c r="I104" s="5" t="s">
        <v>26</v>
      </c>
      <c r="J104" s="5" t="s">
        <v>27</v>
      </c>
      <c r="K104" s="6">
        <v>0.51567129629629627</v>
      </c>
      <c r="L104" s="6"/>
      <c r="M104" s="6"/>
      <c r="N104" s="6">
        <v>0.51818287037037036</v>
      </c>
      <c r="O104" s="7">
        <f t="shared" si="3"/>
        <v>3.6166666666666991</v>
      </c>
      <c r="P104" s="5" t="s">
        <v>561</v>
      </c>
      <c r="Q104" s="5" t="s">
        <v>577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baseColWidth="10" defaultColWidth="8.88671875" defaultRowHeight="14.4" x14ac:dyDescent="0.3"/>
  <cols>
    <col min="1" max="1" width="30" customWidth="1"/>
    <col min="2" max="3" width="15" customWidth="1"/>
  </cols>
  <sheetData>
    <row r="1" spans="1:3" ht="17.399999999999999" x14ac:dyDescent="0.35">
      <c r="A1" s="15" t="s">
        <v>517</v>
      </c>
      <c r="B1" s="13"/>
      <c r="C1" s="13"/>
    </row>
    <row r="3" spans="1:3" x14ac:dyDescent="0.3">
      <c r="A3" s="9" t="s">
        <v>518</v>
      </c>
      <c r="B3">
        <v>3430</v>
      </c>
    </row>
    <row r="4" spans="1:3" x14ac:dyDescent="0.3">
      <c r="A4" s="9" t="s">
        <v>519</v>
      </c>
      <c r="B4">
        <v>100</v>
      </c>
    </row>
    <row r="5" spans="1:3" x14ac:dyDescent="0.3">
      <c r="A5" s="9" t="s">
        <v>520</v>
      </c>
      <c r="B5" t="s">
        <v>521</v>
      </c>
    </row>
    <row r="7" spans="1:3" x14ac:dyDescent="0.3">
      <c r="A7" s="9" t="s">
        <v>522</v>
      </c>
    </row>
    <row r="8" spans="1:3" x14ac:dyDescent="0.3">
      <c r="A8" s="10" t="s">
        <v>523</v>
      </c>
      <c r="B8" s="10" t="s">
        <v>524</v>
      </c>
      <c r="C8" s="10" t="s">
        <v>525</v>
      </c>
    </row>
    <row r="9" spans="1:3" x14ac:dyDescent="0.3">
      <c r="A9" t="s">
        <v>526</v>
      </c>
      <c r="B9">
        <v>216</v>
      </c>
      <c r="C9">
        <v>8</v>
      </c>
    </row>
    <row r="10" spans="1:3" x14ac:dyDescent="0.3">
      <c r="A10" t="s">
        <v>527</v>
      </c>
      <c r="B10">
        <v>219</v>
      </c>
      <c r="C10">
        <v>9</v>
      </c>
    </row>
    <row r="11" spans="1:3" x14ac:dyDescent="0.3">
      <c r="A11" t="s">
        <v>528</v>
      </c>
      <c r="B11">
        <v>254</v>
      </c>
      <c r="C11">
        <v>8</v>
      </c>
    </row>
    <row r="12" spans="1:3" x14ac:dyDescent="0.3">
      <c r="A12" t="s">
        <v>529</v>
      </c>
      <c r="B12">
        <v>291</v>
      </c>
      <c r="C12">
        <v>8</v>
      </c>
    </row>
    <row r="13" spans="1:3" x14ac:dyDescent="0.3">
      <c r="A13" t="s">
        <v>530</v>
      </c>
      <c r="B13">
        <v>275</v>
      </c>
      <c r="C13">
        <v>8</v>
      </c>
    </row>
    <row r="14" spans="1:3" x14ac:dyDescent="0.3">
      <c r="A14" t="s">
        <v>531</v>
      </c>
      <c r="B14">
        <v>311</v>
      </c>
      <c r="C14">
        <v>9</v>
      </c>
    </row>
    <row r="15" spans="1:3" x14ac:dyDescent="0.3">
      <c r="A15" t="s">
        <v>532</v>
      </c>
      <c r="B15">
        <v>303</v>
      </c>
      <c r="C15">
        <v>9</v>
      </c>
    </row>
    <row r="16" spans="1:3" x14ac:dyDescent="0.3">
      <c r="A16" t="s">
        <v>533</v>
      </c>
      <c r="B16">
        <v>323</v>
      </c>
      <c r="C16">
        <v>9</v>
      </c>
    </row>
    <row r="17" spans="1:3" x14ac:dyDescent="0.3">
      <c r="A17" t="s">
        <v>534</v>
      </c>
      <c r="B17">
        <v>323</v>
      </c>
      <c r="C17">
        <v>8</v>
      </c>
    </row>
    <row r="18" spans="1:3" x14ac:dyDescent="0.3">
      <c r="A18" t="s">
        <v>535</v>
      </c>
      <c r="B18">
        <v>326</v>
      </c>
      <c r="C18">
        <v>8</v>
      </c>
    </row>
    <row r="19" spans="1:3" x14ac:dyDescent="0.3">
      <c r="A19" t="s">
        <v>536</v>
      </c>
      <c r="B19">
        <v>329</v>
      </c>
      <c r="C19">
        <v>8</v>
      </c>
    </row>
    <row r="20" spans="1:3" x14ac:dyDescent="0.3">
      <c r="A20" t="s">
        <v>537</v>
      </c>
      <c r="B20">
        <v>260</v>
      </c>
      <c r="C20">
        <v>8</v>
      </c>
    </row>
    <row r="22" spans="1:3" x14ac:dyDescent="0.3">
      <c r="A22" s="9" t="s">
        <v>538</v>
      </c>
    </row>
    <row r="23" spans="1:3" x14ac:dyDescent="0.3">
      <c r="A23" t="s">
        <v>539</v>
      </c>
    </row>
    <row r="24" spans="1:3" x14ac:dyDescent="0.3">
      <c r="A24" t="s">
        <v>540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workbookViewId="0"/>
  </sheetViews>
  <sheetFormatPr baseColWidth="10" defaultColWidth="8.88671875" defaultRowHeight="14.4" x14ac:dyDescent="0.3"/>
  <cols>
    <col min="1" max="1" width="110" customWidth="1"/>
  </cols>
  <sheetData>
    <row r="1" spans="1:1" ht="17.399999999999999" x14ac:dyDescent="0.35">
      <c r="A1" s="8" t="s">
        <v>541</v>
      </c>
    </row>
    <row r="2" spans="1:1" ht="15" customHeight="1" x14ac:dyDescent="0.3">
      <c r="A2" s="11"/>
    </row>
    <row r="3" spans="1:1" ht="15" customHeight="1" x14ac:dyDescent="0.3">
      <c r="A3" s="11" t="s">
        <v>542</v>
      </c>
    </row>
    <row r="4" spans="1:1" ht="19.95" customHeight="1" x14ac:dyDescent="0.3">
      <c r="A4" s="11" t="s">
        <v>543</v>
      </c>
    </row>
    <row r="5" spans="1:1" ht="15" customHeight="1" x14ac:dyDescent="0.3">
      <c r="A5" s="11"/>
    </row>
    <row r="6" spans="1:1" ht="15" customHeight="1" x14ac:dyDescent="0.3">
      <c r="A6" s="11" t="s">
        <v>544</v>
      </c>
    </row>
    <row r="7" spans="1:1" ht="15" customHeight="1" x14ac:dyDescent="0.3">
      <c r="A7" s="11"/>
    </row>
    <row r="8" spans="1:1" ht="15" customHeight="1" x14ac:dyDescent="0.3">
      <c r="A8" s="11" t="s">
        <v>545</v>
      </c>
    </row>
    <row r="9" spans="1:1" ht="15" customHeight="1" x14ac:dyDescent="0.3">
      <c r="A9" s="11" t="s">
        <v>546</v>
      </c>
    </row>
    <row r="10" spans="1:1" ht="15" customHeight="1" x14ac:dyDescent="0.3">
      <c r="A10" s="11" t="s">
        <v>547</v>
      </c>
    </row>
    <row r="11" spans="1:1" ht="19.95" customHeight="1" x14ac:dyDescent="0.3">
      <c r="A11" s="11" t="s">
        <v>548</v>
      </c>
    </row>
    <row r="12" spans="1:1" ht="19.95" customHeight="1" x14ac:dyDescent="0.3">
      <c r="A12" s="11" t="s">
        <v>549</v>
      </c>
    </row>
    <row r="13" spans="1:1" ht="19.95" customHeight="1" x14ac:dyDescent="0.3">
      <c r="A13" s="11" t="s">
        <v>550</v>
      </c>
    </row>
    <row r="14" spans="1:1" ht="15" customHeight="1" x14ac:dyDescent="0.3">
      <c r="A14" s="11" t="s">
        <v>551</v>
      </c>
    </row>
    <row r="15" spans="1:1" ht="15" customHeight="1" x14ac:dyDescent="0.3">
      <c r="A15" s="11" t="s">
        <v>552</v>
      </c>
    </row>
    <row r="16" spans="1:1" ht="19.95" customHeight="1" x14ac:dyDescent="0.3">
      <c r="A16" s="11" t="s">
        <v>553</v>
      </c>
    </row>
    <row r="17" spans="1:1" ht="15" customHeight="1" x14ac:dyDescent="0.3">
      <c r="A17" s="11"/>
    </row>
    <row r="18" spans="1:1" ht="15" customHeight="1" x14ac:dyDescent="0.3">
      <c r="A18" s="11" t="s">
        <v>554</v>
      </c>
    </row>
    <row r="19" spans="1:1" ht="19.95" customHeight="1" x14ac:dyDescent="0.3">
      <c r="A19" s="11" t="s">
        <v>555</v>
      </c>
    </row>
    <row r="20" spans="1:1" ht="19.95" customHeight="1" x14ac:dyDescent="0.3">
      <c r="A20" s="11" t="s">
        <v>556</v>
      </c>
    </row>
    <row r="21" spans="1:1" ht="15" customHeight="1" x14ac:dyDescent="0.3">
      <c r="A21" s="11" t="s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L-aba dybdeanalyse</vt:lpstr>
      <vt:lpstr>Oppsummering</vt:lpstr>
      <vt:lpstr>Instruksjon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Yngve Vold Muller</cp:lastModifiedBy>
  <dcterms:created xsi:type="dcterms:W3CDTF">2026-04-19T08:41:31Z</dcterms:created>
  <dcterms:modified xsi:type="dcterms:W3CDTF">2026-04-21T21:42:38Z</dcterms:modified>
</cp:coreProperties>
</file>