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rannsr-my.sharepoint.com/personal/yngve_vold_muller_rogbr_no/Documents/Skrivebord/"/>
    </mc:Choice>
  </mc:AlternateContent>
  <xr:revisionPtr revIDLastSave="0" documentId="8_{2680D21E-2576-4DD0-BB1D-EC47D6F0EE8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L-aba dybdeanalyse" sheetId="1" r:id="rId1"/>
    <sheet name="Oppsummering" sheetId="2" r:id="rId2"/>
    <sheet name="Instruksj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" i="1" l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</calcChain>
</file>

<file path=xl/sharedStrings.xml><?xml version="1.0" encoding="utf-8"?>
<sst xmlns="http://schemas.openxmlformats.org/spreadsheetml/2006/main" count="584" uniqueCount="335">
  <si>
    <t>L-aba dybdeanalyse — 110 Sør-Vest 2025</t>
  </si>
  <si>
    <t>Utvalg på 50 hendelser, stratifisert 4 per måned (10 mnd) + 5 per måned (2 mnd). Fyll ut tidskolonnene manuelt fra LEO-loggen. Bindingstid beregnes automatisk fra T_alarm_inn → T_operatør_frigjort.</t>
  </si>
  <si>
    <t>Nr</t>
  </si>
  <si>
    <t>Oppdrag ID</t>
  </si>
  <si>
    <t>110 ID</t>
  </si>
  <si>
    <t>Dato</t>
  </si>
  <si>
    <t>Tid anrop (ref)</t>
  </si>
  <si>
    <t>Oppdrag opprettet (ref)</t>
  </si>
  <si>
    <t>Ukedag</t>
  </si>
  <si>
    <t>Helg/Hverdag</t>
  </si>
  <si>
    <t>Kilde</t>
  </si>
  <si>
    <t>Opprinnelig type</t>
  </si>
  <si>
    <t>T_alarm_inn</t>
  </si>
  <si>
    <t>T_nødtelefon_inn</t>
  </si>
  <si>
    <t>T_avklart</t>
  </si>
  <si>
    <t>T_operatør_frigjort</t>
  </si>
  <si>
    <t>Bindingstid (min)</t>
  </si>
  <si>
    <t>Nødtelefon mottatt? (J/N)</t>
  </si>
  <si>
    <t>Kommentar</t>
  </si>
  <si>
    <t>2892265</t>
  </si>
  <si>
    <t>B06-250114-214</t>
  </si>
  <si>
    <t>14.01.2025</t>
  </si>
  <si>
    <t>13:39:59</t>
  </si>
  <si>
    <t>13:40:12</t>
  </si>
  <si>
    <t>Tirsdag</t>
  </si>
  <si>
    <t>Hverdag</t>
  </si>
  <si>
    <t>Alarm</t>
  </si>
  <si>
    <t>ABA</t>
  </si>
  <si>
    <t>2896810</t>
  </si>
  <si>
    <t>B06-250117-135</t>
  </si>
  <si>
    <t>17.01.2025</t>
  </si>
  <si>
    <t>11:24:10</t>
  </si>
  <si>
    <t>11:24:21</t>
  </si>
  <si>
    <t>Fredag</t>
  </si>
  <si>
    <t>2897546</t>
  </si>
  <si>
    <t>B06-250117-211</t>
  </si>
  <si>
    <t>16:57:59</t>
  </si>
  <si>
    <t>16:59:04</t>
  </si>
  <si>
    <t>Samtale</t>
  </si>
  <si>
    <t>2898580</t>
  </si>
  <si>
    <t>B06-250118-111</t>
  </si>
  <si>
    <t>18.01.2025</t>
  </si>
  <si>
    <t>17:02:09</t>
  </si>
  <si>
    <t>17:03:23</t>
  </si>
  <si>
    <t>Lørdag</t>
  </si>
  <si>
    <t>Helg</t>
  </si>
  <si>
    <t>2921602</t>
  </si>
  <si>
    <t>B06-250204-202</t>
  </si>
  <si>
    <t>04.02.2025</t>
  </si>
  <si>
    <t>14:17:25</t>
  </si>
  <si>
    <t>14:17:36</t>
  </si>
  <si>
    <t>2928968</t>
  </si>
  <si>
    <t>B06-250210-28</t>
  </si>
  <si>
    <t>10.02.2025</t>
  </si>
  <si>
    <t>07:30:35</t>
  </si>
  <si>
    <t>Mandag</t>
  </si>
  <si>
    <t>2945344</t>
  </si>
  <si>
    <t>B06-250220-245</t>
  </si>
  <si>
    <t>20.02.2025</t>
  </si>
  <si>
    <t>18:17:11</t>
  </si>
  <si>
    <t>18:17:23</t>
  </si>
  <si>
    <t>Torsdag</t>
  </si>
  <si>
    <t>2952689</t>
  </si>
  <si>
    <t>B06-250226-30</t>
  </si>
  <si>
    <t>26.02.2025</t>
  </si>
  <si>
    <t>08:26:09</t>
  </si>
  <si>
    <t>08:26:16</t>
  </si>
  <si>
    <t>Onsdag</t>
  </si>
  <si>
    <t>2956539</t>
  </si>
  <si>
    <t>B06-250228-80</t>
  </si>
  <si>
    <t>28.02.2025</t>
  </si>
  <si>
    <t>10:11:42</t>
  </si>
  <si>
    <t>10:13:54</t>
  </si>
  <si>
    <t>2960955</t>
  </si>
  <si>
    <t>B06-250303-267</t>
  </si>
  <si>
    <t>03.03.2025</t>
  </si>
  <si>
    <t>18:52:18</t>
  </si>
  <si>
    <t>18:52:37</t>
  </si>
  <si>
    <t>2992744</t>
  </si>
  <si>
    <t>B06-250322-190</t>
  </si>
  <si>
    <t>22.03.2025</t>
  </si>
  <si>
    <t>21:36:14</t>
  </si>
  <si>
    <t>21:36:36</t>
  </si>
  <si>
    <t>3004628</t>
  </si>
  <si>
    <t>B06-250330-72</t>
  </si>
  <si>
    <t>30.03.2025</t>
  </si>
  <si>
    <t>15:55:35</t>
  </si>
  <si>
    <t>15:56:44</t>
  </si>
  <si>
    <t>Søndag</t>
  </si>
  <si>
    <t>3005499</t>
  </si>
  <si>
    <t>B06-250331-63</t>
  </si>
  <si>
    <t>31.03.2025</t>
  </si>
  <si>
    <t>10:25:48</t>
  </si>
  <si>
    <t>10:26:01</t>
  </si>
  <si>
    <t>3014794</t>
  </si>
  <si>
    <t>B06-250404-238</t>
  </si>
  <si>
    <t>04.04.2025</t>
  </si>
  <si>
    <t>17:35:51</t>
  </si>
  <si>
    <t>17:36:15</t>
  </si>
  <si>
    <t>3015847</t>
  </si>
  <si>
    <t>B06-250405-138</t>
  </si>
  <si>
    <t>05.04.2025</t>
  </si>
  <si>
    <t>15:00:13</t>
  </si>
  <si>
    <t>15:00:27</t>
  </si>
  <si>
    <t>3038609</t>
  </si>
  <si>
    <t>B06-250421-103</t>
  </si>
  <si>
    <t>21.04.2025</t>
  </si>
  <si>
    <t>22:59:20</t>
  </si>
  <si>
    <t>22:59:24</t>
  </si>
  <si>
    <t>3047571</t>
  </si>
  <si>
    <t>B06-250427-39</t>
  </si>
  <si>
    <t>27.04.2025</t>
  </si>
  <si>
    <t>12:57:46</t>
  </si>
  <si>
    <t>12:58:16</t>
  </si>
  <si>
    <t>3056525</t>
  </si>
  <si>
    <t>B06-250503-18</t>
  </si>
  <si>
    <t>03.05.2025</t>
  </si>
  <si>
    <t>04:36:25</t>
  </si>
  <si>
    <t>04:36:29</t>
  </si>
  <si>
    <t>3065991</t>
  </si>
  <si>
    <t>B06-250508-184</t>
  </si>
  <si>
    <t>08.05.2025</t>
  </si>
  <si>
    <t>16:34:50</t>
  </si>
  <si>
    <t>16:34:55</t>
  </si>
  <si>
    <t>3077670</t>
  </si>
  <si>
    <t>B06-250515-167</t>
  </si>
  <si>
    <t>15.05.2025</t>
  </si>
  <si>
    <t>13:02:19</t>
  </si>
  <si>
    <t>13:02:32</t>
  </si>
  <si>
    <t>3103582</t>
  </si>
  <si>
    <t>B06-250531-54</t>
  </si>
  <si>
    <t>31.05.2025</t>
  </si>
  <si>
    <t>14:00:23</t>
  </si>
  <si>
    <t>14:00:31</t>
  </si>
  <si>
    <t>3117289</t>
  </si>
  <si>
    <t>B06-250609-32</t>
  </si>
  <si>
    <t>09.06.2025</t>
  </si>
  <si>
    <t>10:33:14</t>
  </si>
  <si>
    <t>10:33:22</t>
  </si>
  <si>
    <t>3120502</t>
  </si>
  <si>
    <t>B06-250611-84</t>
  </si>
  <si>
    <t>11.06.2025</t>
  </si>
  <si>
    <t>10:00:17</t>
  </si>
  <si>
    <t>10:00:39</t>
  </si>
  <si>
    <t>3136177</t>
  </si>
  <si>
    <t>B06-250620-131</t>
  </si>
  <si>
    <t>20.06.2025</t>
  </si>
  <si>
    <t>12:24:38</t>
  </si>
  <si>
    <t>12:24:56</t>
  </si>
  <si>
    <t>3143350</t>
  </si>
  <si>
    <t>B06-250624-208</t>
  </si>
  <si>
    <t>24.06.2025</t>
  </si>
  <si>
    <t>17:01:28</t>
  </si>
  <si>
    <t>17:01:45</t>
  </si>
  <si>
    <t>3159018</t>
  </si>
  <si>
    <t>B06-250703-203</t>
  </si>
  <si>
    <t>03.07.2025</t>
  </si>
  <si>
    <t>19:35:25</t>
  </si>
  <si>
    <t>19:36:05</t>
  </si>
  <si>
    <t>3162169</t>
  </si>
  <si>
    <t>B06-250706-20</t>
  </si>
  <si>
    <t>06.07.2025</t>
  </si>
  <si>
    <t>08:50:41</t>
  </si>
  <si>
    <t>08:50:53</t>
  </si>
  <si>
    <t>3164482</t>
  </si>
  <si>
    <t>B06-250708-11</t>
  </si>
  <si>
    <t>08.07.2025</t>
  </si>
  <si>
    <t>02:58:51</t>
  </si>
  <si>
    <t>3173466</t>
  </si>
  <si>
    <t>B06-250714-20</t>
  </si>
  <si>
    <t>14.07.2025</t>
  </si>
  <si>
    <t>07:42:46</t>
  </si>
  <si>
    <t>07:42:58</t>
  </si>
  <si>
    <t>3187917</t>
  </si>
  <si>
    <t>B06-250722-176</t>
  </si>
  <si>
    <t>22.07.2025</t>
  </si>
  <si>
    <t>23:52:30</t>
  </si>
  <si>
    <t>23:53:01</t>
  </si>
  <si>
    <t>3211554</t>
  </si>
  <si>
    <t>B06-250808-79</t>
  </si>
  <si>
    <t>08.08.2025</t>
  </si>
  <si>
    <t>09:13:55</t>
  </si>
  <si>
    <t>09:14:40</t>
  </si>
  <si>
    <t>3212625</t>
  </si>
  <si>
    <t>B06-250808-232</t>
  </si>
  <si>
    <t>22:10:32</t>
  </si>
  <si>
    <t>22:06:12</t>
  </si>
  <si>
    <t>3227081</t>
  </si>
  <si>
    <t>B06-250818-107</t>
  </si>
  <si>
    <t>18.08.2025</t>
  </si>
  <si>
    <t>15:51:40</t>
  </si>
  <si>
    <t>15:51:48</t>
  </si>
  <si>
    <t>3235680</t>
  </si>
  <si>
    <t>B06-250823-122</t>
  </si>
  <si>
    <t>23.08.2025</t>
  </si>
  <si>
    <t>21:04:27</t>
  </si>
  <si>
    <t>21:04:45</t>
  </si>
  <si>
    <t>3258162</t>
  </si>
  <si>
    <t>B06-250905-170</t>
  </si>
  <si>
    <t>05.09.2025</t>
  </si>
  <si>
    <t>16:56:47</t>
  </si>
  <si>
    <t>16:57:09</t>
  </si>
  <si>
    <t>3283845</t>
  </si>
  <si>
    <t>B06-250919-2</t>
  </si>
  <si>
    <t>19.09.2025</t>
  </si>
  <si>
    <t>04:18:07</t>
  </si>
  <si>
    <t>04:18:09</t>
  </si>
  <si>
    <t>3284459</t>
  </si>
  <si>
    <t>B06-250919-87</t>
  </si>
  <si>
    <t>09:31:36</t>
  </si>
  <si>
    <t>09:31:44</t>
  </si>
  <si>
    <t>3305199</t>
  </si>
  <si>
    <t>B06-250930-116</t>
  </si>
  <si>
    <t>30.09.2025</t>
  </si>
  <si>
    <t>10:16:13</t>
  </si>
  <si>
    <t>10:16:19</t>
  </si>
  <si>
    <t>3311231</t>
  </si>
  <si>
    <t>B06-251003-80</t>
  </si>
  <si>
    <t>03.10.2025</t>
  </si>
  <si>
    <t>09:29:10</t>
  </si>
  <si>
    <t>09:29:15</t>
  </si>
  <si>
    <t>3324209</t>
  </si>
  <si>
    <t>B06-251008-203</t>
  </si>
  <si>
    <t>08.10.2025</t>
  </si>
  <si>
    <t>14:14:39</t>
  </si>
  <si>
    <t>3340114</t>
  </si>
  <si>
    <t>B06-251017-220</t>
  </si>
  <si>
    <t>17.10.2025</t>
  </si>
  <si>
    <t>15:01:56</t>
  </si>
  <si>
    <t>15:02:03</t>
  </si>
  <si>
    <t>3346383</t>
  </si>
  <si>
    <t>B06-251021-222</t>
  </si>
  <si>
    <t>21.10.2025</t>
  </si>
  <si>
    <t>19:13:15</t>
  </si>
  <si>
    <t>19:13:30</t>
  </si>
  <si>
    <t>3384344</t>
  </si>
  <si>
    <t>B06-251112-226</t>
  </si>
  <si>
    <t>12.11.2025</t>
  </si>
  <si>
    <t>17:37:35</t>
  </si>
  <si>
    <t>17:37:54</t>
  </si>
  <si>
    <t>3386342</t>
  </si>
  <si>
    <t>B06-251113-218</t>
  </si>
  <si>
    <t>13.11.2025</t>
  </si>
  <si>
    <t>17:37:15</t>
  </si>
  <si>
    <t>17:37:28</t>
  </si>
  <si>
    <t>3392088</t>
  </si>
  <si>
    <t>B06-251117-191</t>
  </si>
  <si>
    <t>17.11.2025</t>
  </si>
  <si>
    <t>17:10:15</t>
  </si>
  <si>
    <t>3402693</t>
  </si>
  <si>
    <t>B06-251124-19</t>
  </si>
  <si>
    <t>24.11.2025</t>
  </si>
  <si>
    <t>08:09:34</t>
  </si>
  <si>
    <t>08:10:12</t>
  </si>
  <si>
    <t>3414356</t>
  </si>
  <si>
    <t>B06-251201-3</t>
  </si>
  <si>
    <t>01.12.2025</t>
  </si>
  <si>
    <t>00:58:31</t>
  </si>
  <si>
    <t>00:58:40</t>
  </si>
  <si>
    <t>3435049</t>
  </si>
  <si>
    <t>B06-251212-214</t>
  </si>
  <si>
    <t>12.12.2025</t>
  </si>
  <si>
    <t>15:51:21</t>
  </si>
  <si>
    <t>3450660</t>
  </si>
  <si>
    <t>B06-251223-105</t>
  </si>
  <si>
    <t>23.12.2025</t>
  </si>
  <si>
    <t>12:14:45</t>
  </si>
  <si>
    <t>12:15:00</t>
  </si>
  <si>
    <t>3456195</t>
  </si>
  <si>
    <t>B06-251229-13</t>
  </si>
  <si>
    <t>29.12.2025</t>
  </si>
  <si>
    <t>07:02:22</t>
  </si>
  <si>
    <t>07:03:37</t>
  </si>
  <si>
    <t>Oppsummering L-aba dybdeanalyse — 110 Sør-Vest 2025</t>
  </si>
  <si>
    <t>Populasjon (L-aba Sør-Vest 2025):</t>
  </si>
  <si>
    <t>Utvalgsstørrelse:</t>
  </si>
  <si>
    <t>Utvalgsandel:</t>
  </si>
  <si>
    <t>0.91%</t>
  </si>
  <si>
    <t>Fordeling per måned:</t>
  </si>
  <si>
    <t>Måned</t>
  </si>
  <si>
    <t>Populasjon</t>
  </si>
  <si>
    <t>Utvalg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</si>
  <si>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</si>
  <si>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</si>
  <si>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</si>
  <si>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</si>
  <si>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</si>
  <si>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</si>
  <si>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</si>
  <si>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</si>
  <si>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</si>
  <si>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</si>
  <si>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</si>
  <si>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</si>
  <si>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Reproduserbarhet:</t>
  </si>
  <si>
    <t>Random seed: 20260418</t>
  </si>
  <si>
    <t>Måneder med 5 hendelser: Feb, Jul</t>
  </si>
  <si>
    <t>Instruksjon for manuell utfylling</t>
  </si>
  <si>
    <t>Formål:</t>
  </si>
  <si>
    <t>Kvantifisere faktisk operatørbindingstid for L-aba-hendelser (ABA løst av 110 uten utrykning) ved 110 Sør-Vest. Resultatet brukes til å validere eller justere bindingstidsestimatet på 3 min som ligger i kapasitetsmodellen.</t>
  </si>
  <si>
    <t>For hver hendelse i hoved-arket:</t>
  </si>
  <si>
    <t>1. Åpne hendelsen i LEO (bruk 110 ID for å finne den raskt).</t>
  </si>
  <si>
    <t>2. Fyll inn tidspunkter som klokkeslett (hh:mm:ss):</t>
  </si>
  <si>
    <t xml:space="preserve">   • T_alarm_inn — når ABA-signalet mottas i LEO</t>
  </si>
  <si>
    <t xml:space="preserve">   • T_nødtelefon_inn — når eventuell nødtelefon fra stedet besvares (90-sek-regel)</t>
  </si>
  <si>
    <t xml:space="preserve">   • T_avklart — når operatøren bekrefter ufarlig årsak (matlaging, damp, service mm.)</t>
  </si>
  <si>
    <t xml:space="preserve">   • T_operatør_frigjort — når oppdraget lukkes og operatør er tilgjengelig for neste</t>
  </si>
  <si>
    <t>3. Merk J/N om nødtelefon faktisk kom innen 90 sek.</t>
  </si>
  <si>
    <t>4. Bindingstid beregnes automatisk fra T_alarm_inn til T_operatør_frigjort.</t>
  </si>
  <si>
    <t>5. Bruk kommentarfeltet til observasjoner som kan forklare avvik (f.eks. samtidige hendelser, innringer som nekter, tvil om kategorisering).</t>
  </si>
  <si>
    <t>Merk:</t>
  </si>
  <si>
    <t>• Hvis hendelsen ikke matcher L-aba-definisjonen (ABA som lukkes uten utrykning), noter det i kommentar — vi vil se på klassifiseringsfeil.</t>
  </si>
  <si>
    <t>J</t>
  </si>
  <si>
    <t>Kun nødarnop, ikke alarm i ISM</t>
  </si>
  <si>
    <t>Kun nødanrop, ikke alarm i ISM</t>
  </si>
  <si>
    <t>Magelfull logg, kun nødanrop, ikke alarm i ISM (ikke kunde i ISM)</t>
  </si>
  <si>
    <t>Ikke et eneste loggpunkt</t>
  </si>
  <si>
    <t>Dette er en øvelse som er feil revidert</t>
  </si>
  <si>
    <t>Dette er en innbruddsalarm, ikke innlagt i ISM</t>
  </si>
  <si>
    <t>Test av anlegget, teknikker glemt å koble ut</t>
  </si>
  <si>
    <t>Privat brannalarm uten tilknytting til 110</t>
  </si>
  <si>
    <t>Ikke nødanrop, operatør har ringt ut</t>
  </si>
  <si>
    <t>Test av anlegg, feil revidert oppdrag</t>
  </si>
  <si>
    <t>Industrivern kontrollerer, ringer tilbake</t>
  </si>
  <si>
    <t>Ingen loggføring, ingen adresse, ingen nødanrop</t>
  </si>
  <si>
    <t>Innringer melder kun om forvarsel</t>
  </si>
  <si>
    <t>N</t>
  </si>
  <si>
    <t>Mangelfull loggføring</t>
  </si>
  <si>
    <t>Varmekamera i Stavanger, ingen logg</t>
  </si>
  <si>
    <t>EHHHH?</t>
  </si>
  <si>
    <t>Varmekamera i Egersund</t>
  </si>
  <si>
    <t>Ingen anrop</t>
  </si>
  <si>
    <t>Ingen alarm</t>
  </si>
  <si>
    <t>Ingen logg</t>
  </si>
  <si>
    <t>Ikke i henhold til prosedyre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</si>
</sst>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A3A5C"/>
      <name val="Calibri"/>
    </font>
    <font>
      <i/>
      <sz val="10"/>
      <color rgb="FF555555"/>
      <name val="Calibri"/>
    </font>
    <font>
      <b/>
      <sz val="10"/>
      <color rgb="FFFFFFFF"/>
      <name val="Calibri"/>
    </font>
    <font>
      <sz val="10"/>
      <name val="Calibri"/>
    </font>
    <font>
      <b/>
      <sz val="13"/>
      <color rgb="FF1A3A5C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A5A80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21" fontId="4" fillId="0" borderId="2" xfId="0" applyNumberFormat="1" applyFont="1" applyBorder="1" applyAlignment="1">
      <alignment vertical="center"/>
    </xf>
    <xf numFmtId="2" fontId="4" fillId="0" borderId="2" xfId="0" applyNumberFormat="1" applyFont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21" fontId="4" fillId="3" borderId="2" xfId="0" applyNumberFormat="1" applyFont="1" applyFill="1" applyBorder="1" applyAlignment="1">
      <alignment vertical="center"/>
    </xf>
    <xf numFmtId="2" fontId="4" fillId="3" borderId="2" xfId="0" applyNumberFormat="1" applyFont="1" applyFill="1" applyBorder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workbookViewId="0">
      <pane xSplit="3" ySplit="4" topLeftCell="D5" activePane="bottomRight" state="frozen"/>
      <selection pane="topRight"/>
      <selection pane="bottomLeft"/>
      <selection pane="bottomRight" activeCell="Q55" sqref="Q55"/>
    </sheetView>
  </sheetViews>
  <sheetFormatPr baseColWidth="10" defaultColWidth="9.109375" defaultRowHeight="14.4" x14ac:dyDescent="0.3"/>
  <cols>
    <col min="1" max="1" width="5" customWidth="1"/>
    <col min="2" max="2" width="12" customWidth="1"/>
    <col min="3" max="3" width="13.77734375" customWidth="1"/>
    <col min="4" max="4" width="11" customWidth="1"/>
    <col min="5" max="5" width="14" customWidth="1"/>
    <col min="6" max="6" width="20" customWidth="1"/>
    <col min="7" max="7" width="10" customWidth="1"/>
    <col min="8" max="8" width="12" customWidth="1"/>
    <col min="9" max="9" width="10" customWidth="1"/>
    <col min="10" max="10" width="14" customWidth="1"/>
    <col min="11" max="11" width="13" customWidth="1"/>
    <col min="12" max="12" width="16" customWidth="1"/>
    <col min="13" max="13" width="13" customWidth="1"/>
    <col min="14" max="15" width="16" customWidth="1"/>
    <col min="16" max="16" width="20" customWidth="1"/>
    <col min="17" max="17" width="40" customWidth="1"/>
  </cols>
  <sheetData>
    <row r="1" spans="1:17" ht="18" x14ac:dyDescent="0.3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1.95" customHeigh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4" spans="1:17" ht="37.950000000000003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x14ac:dyDescent="0.3">
      <c r="A5" s="2">
        <v>1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3">
        <v>0.56943287037037038</v>
      </c>
      <c r="L5" s="3">
        <v>0.56943287037037038</v>
      </c>
      <c r="M5" s="3"/>
      <c r="N5" s="3">
        <v>0.57396990740740739</v>
      </c>
      <c r="O5" s="4">
        <f t="shared" ref="O5:O36" si="0">IF(AND(ISNUMBER(K5),ISNUMBER(N5)),(N5-K5)*1440,"")</f>
        <v>6.5333333333332888</v>
      </c>
      <c r="P5" s="2" t="s">
        <v>312</v>
      </c>
      <c r="Q5" s="2" t="s">
        <v>315</v>
      </c>
    </row>
    <row r="6" spans="1:17" x14ac:dyDescent="0.3">
      <c r="A6" s="5">
        <v>2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25</v>
      </c>
      <c r="I6" s="5" t="s">
        <v>26</v>
      </c>
      <c r="J6" s="5" t="s">
        <v>27</v>
      </c>
      <c r="K6" s="6">
        <v>0.47491898148148148</v>
      </c>
      <c r="L6" s="6">
        <v>0.4754976851851852</v>
      </c>
      <c r="M6" s="6"/>
      <c r="N6" s="6">
        <v>0.4765625</v>
      </c>
      <c r="O6" s="7">
        <f t="shared" si="0"/>
        <v>2.3666666666666636</v>
      </c>
      <c r="P6" s="5" t="s">
        <v>312</v>
      </c>
      <c r="Q6" s="5"/>
    </row>
    <row r="7" spans="1:17" x14ac:dyDescent="0.3">
      <c r="A7" s="2">
        <v>3</v>
      </c>
      <c r="B7" s="2" t="s">
        <v>34</v>
      </c>
      <c r="C7" s="2" t="s">
        <v>35</v>
      </c>
      <c r="D7" s="2" t="s">
        <v>30</v>
      </c>
      <c r="E7" s="2" t="s">
        <v>36</v>
      </c>
      <c r="F7" s="2" t="s">
        <v>37</v>
      </c>
      <c r="G7" s="2" t="s">
        <v>33</v>
      </c>
      <c r="H7" s="2" t="s">
        <v>25</v>
      </c>
      <c r="I7" s="2" t="s">
        <v>38</v>
      </c>
      <c r="J7" s="2" t="s">
        <v>27</v>
      </c>
      <c r="K7" s="3">
        <v>0.70693287037037034</v>
      </c>
      <c r="L7" s="3">
        <v>0.70693287037037034</v>
      </c>
      <c r="M7" s="3"/>
      <c r="N7" s="3">
        <v>0.71053240740740742</v>
      </c>
      <c r="O7" s="4">
        <f t="shared" si="0"/>
        <v>5.1833333333333975</v>
      </c>
      <c r="P7" s="2" t="s">
        <v>312</v>
      </c>
      <c r="Q7" s="2" t="s">
        <v>313</v>
      </c>
    </row>
    <row r="8" spans="1:17" x14ac:dyDescent="0.3">
      <c r="A8" s="5">
        <v>4</v>
      </c>
      <c r="B8" s="5" t="s">
        <v>39</v>
      </c>
      <c r="C8" s="5" t="s">
        <v>40</v>
      </c>
      <c r="D8" s="5" t="s">
        <v>41</v>
      </c>
      <c r="E8" s="5" t="s">
        <v>42</v>
      </c>
      <c r="F8" s="5" t="s">
        <v>43</v>
      </c>
      <c r="G8" s="5" t="s">
        <v>44</v>
      </c>
      <c r="H8" s="5" t="s">
        <v>45</v>
      </c>
      <c r="I8" s="5" t="s">
        <v>38</v>
      </c>
      <c r="J8" s="5" t="s">
        <v>27</v>
      </c>
      <c r="K8" s="6">
        <v>0.70982638888888894</v>
      </c>
      <c r="L8" s="6">
        <v>0.70982638888888894</v>
      </c>
      <c r="M8" s="6"/>
      <c r="N8" s="6">
        <v>0.71285879629629634</v>
      </c>
      <c r="O8" s="7">
        <f t="shared" si="0"/>
        <v>4.3666666666666565</v>
      </c>
      <c r="P8" s="5" t="s">
        <v>312</v>
      </c>
      <c r="Q8" s="5" t="s">
        <v>314</v>
      </c>
    </row>
    <row r="9" spans="1:17" x14ac:dyDescent="0.3">
      <c r="A9" s="2">
        <v>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24</v>
      </c>
      <c r="H9" s="2" t="s">
        <v>25</v>
      </c>
      <c r="I9" s="2" t="s">
        <v>26</v>
      </c>
      <c r="J9" s="2" t="s">
        <v>27</v>
      </c>
      <c r="K9" s="3">
        <v>0.5951967592592593</v>
      </c>
      <c r="L9" s="3">
        <v>0.59562499999999996</v>
      </c>
      <c r="M9" s="3"/>
      <c r="N9" s="3">
        <v>0.59725694444444444</v>
      </c>
      <c r="O9" s="4">
        <f t="shared" si="0"/>
        <v>2.9666666666665975</v>
      </c>
      <c r="P9" s="2" t="s">
        <v>312</v>
      </c>
      <c r="Q9" s="2"/>
    </row>
    <row r="10" spans="1:17" x14ac:dyDescent="0.3">
      <c r="A10" s="5">
        <v>6</v>
      </c>
      <c r="B10" s="5" t="s">
        <v>51</v>
      </c>
      <c r="C10" s="5" t="s">
        <v>52</v>
      </c>
      <c r="D10" s="5" t="s">
        <v>53</v>
      </c>
      <c r="E10" s="5" t="s">
        <v>54</v>
      </c>
      <c r="F10" s="5" t="s">
        <v>54</v>
      </c>
      <c r="G10" s="5" t="s">
        <v>55</v>
      </c>
      <c r="H10" s="5" t="s">
        <v>25</v>
      </c>
      <c r="I10" s="5" t="s">
        <v>26</v>
      </c>
      <c r="J10" s="5" t="s">
        <v>27</v>
      </c>
      <c r="K10" s="6">
        <v>0.31162037037037038</v>
      </c>
      <c r="L10" s="6">
        <v>0.31290509259259258</v>
      </c>
      <c r="M10" s="6"/>
      <c r="N10" s="6">
        <v>0.315</v>
      </c>
      <c r="O10" s="7">
        <f t="shared" si="0"/>
        <v>4.8666666666666547</v>
      </c>
      <c r="P10" s="5" t="s">
        <v>312</v>
      </c>
      <c r="Q10" s="5" t="s">
        <v>316</v>
      </c>
    </row>
    <row r="11" spans="1:17" x14ac:dyDescent="0.3">
      <c r="A11" s="2">
        <v>7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25</v>
      </c>
      <c r="I11" s="2" t="s">
        <v>26</v>
      </c>
      <c r="J11" s="2" t="s">
        <v>27</v>
      </c>
      <c r="K11" s="3">
        <v>0.76171296296296298</v>
      </c>
      <c r="L11" s="3">
        <v>0.76193287037037039</v>
      </c>
      <c r="M11" s="3"/>
      <c r="N11" s="3">
        <v>0.76817129629629632</v>
      </c>
      <c r="O11" s="4">
        <f t="shared" si="0"/>
        <v>9.3000000000000149</v>
      </c>
      <c r="P11" s="2" t="s">
        <v>312</v>
      </c>
      <c r="Q11" s="2"/>
    </row>
    <row r="12" spans="1:17" x14ac:dyDescent="0.3">
      <c r="A12" s="5">
        <v>8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  <c r="G12" s="5" t="s">
        <v>67</v>
      </c>
      <c r="H12" s="5" t="s">
        <v>25</v>
      </c>
      <c r="I12" s="5" t="s">
        <v>26</v>
      </c>
      <c r="J12" s="5" t="s">
        <v>27</v>
      </c>
      <c r="K12" s="6">
        <v>0.3513310185185185</v>
      </c>
      <c r="L12" s="6">
        <v>0.35224537037037035</v>
      </c>
      <c r="M12" s="6"/>
      <c r="N12" s="6">
        <v>0.35912037037037037</v>
      </c>
      <c r="O12" s="7">
        <f t="shared" si="0"/>
        <v>11.216666666666688</v>
      </c>
      <c r="P12" s="5" t="s">
        <v>312</v>
      </c>
      <c r="Q12" s="5"/>
    </row>
    <row r="13" spans="1:17" x14ac:dyDescent="0.3">
      <c r="A13" s="2">
        <v>9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72</v>
      </c>
      <c r="G13" s="2" t="s">
        <v>33</v>
      </c>
      <c r="H13" s="2" t="s">
        <v>25</v>
      </c>
      <c r="I13" s="2" t="s">
        <v>38</v>
      </c>
      <c r="J13" s="2" t="s">
        <v>27</v>
      </c>
      <c r="K13" s="3">
        <v>0.42550925925925925</v>
      </c>
      <c r="L13" s="3">
        <v>0.42572916666666666</v>
      </c>
      <c r="M13" s="3"/>
      <c r="N13" s="3">
        <v>0.43127314814814816</v>
      </c>
      <c r="O13" s="4">
        <f t="shared" si="0"/>
        <v>8.3000000000000185</v>
      </c>
      <c r="P13" s="2" t="s">
        <v>312</v>
      </c>
      <c r="Q13" s="2" t="s">
        <v>317</v>
      </c>
    </row>
    <row r="14" spans="1:17" x14ac:dyDescent="0.3">
      <c r="A14" s="5">
        <v>10</v>
      </c>
      <c r="B14" s="5" t="s">
        <v>73</v>
      </c>
      <c r="C14" s="5" t="s">
        <v>74</v>
      </c>
      <c r="D14" s="5" t="s">
        <v>75</v>
      </c>
      <c r="E14" s="5" t="s">
        <v>76</v>
      </c>
      <c r="F14" s="5" t="s">
        <v>77</v>
      </c>
      <c r="G14" s="5" t="s">
        <v>55</v>
      </c>
      <c r="H14" s="5" t="s">
        <v>25</v>
      </c>
      <c r="I14" s="5" t="s">
        <v>26</v>
      </c>
      <c r="J14" s="5" t="s">
        <v>27</v>
      </c>
      <c r="K14" s="6">
        <v>0.78612268518518513</v>
      </c>
      <c r="L14" s="6">
        <v>0.78631944444444446</v>
      </c>
      <c r="M14" s="6"/>
      <c r="N14" s="6">
        <v>0.78787037037037033</v>
      </c>
      <c r="O14" s="7">
        <f t="shared" si="0"/>
        <v>2.516666666666687</v>
      </c>
      <c r="P14" s="5" t="s">
        <v>312</v>
      </c>
      <c r="Q14" s="5"/>
    </row>
    <row r="15" spans="1:17" x14ac:dyDescent="0.3">
      <c r="A15" s="2">
        <v>11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82</v>
      </c>
      <c r="G15" s="2" t="s">
        <v>44</v>
      </c>
      <c r="H15" s="2" t="s">
        <v>45</v>
      </c>
      <c r="I15" s="2" t="s">
        <v>38</v>
      </c>
      <c r="J15" s="2" t="s">
        <v>27</v>
      </c>
      <c r="K15" s="3">
        <v>0.9</v>
      </c>
      <c r="L15" s="3">
        <v>0.90016203703703701</v>
      </c>
      <c r="M15" s="3"/>
      <c r="N15" s="3">
        <v>0.90327546296296302</v>
      </c>
      <c r="O15" s="4">
        <f t="shared" si="0"/>
        <v>4.7166666666667112</v>
      </c>
      <c r="P15" s="2" t="s">
        <v>312</v>
      </c>
      <c r="Q15" s="2"/>
    </row>
    <row r="16" spans="1:17" x14ac:dyDescent="0.3">
      <c r="A16" s="5">
        <v>12</v>
      </c>
      <c r="B16" s="5" t="s">
        <v>83</v>
      </c>
      <c r="C16" s="5" t="s">
        <v>84</v>
      </c>
      <c r="D16" s="5" t="s">
        <v>85</v>
      </c>
      <c r="E16" s="5" t="s">
        <v>86</v>
      </c>
      <c r="F16" s="5" t="s">
        <v>87</v>
      </c>
      <c r="G16" s="5" t="s">
        <v>88</v>
      </c>
      <c r="H16" s="5" t="s">
        <v>45</v>
      </c>
      <c r="I16" s="5" t="s">
        <v>38</v>
      </c>
      <c r="J16" s="5" t="s">
        <v>27</v>
      </c>
      <c r="K16" s="6">
        <v>0.663599537037037</v>
      </c>
      <c r="L16" s="6">
        <v>0.663599537037037</v>
      </c>
      <c r="M16" s="6"/>
      <c r="N16" s="6">
        <v>0.66462962962962968</v>
      </c>
      <c r="O16" s="7">
        <f t="shared" si="0"/>
        <v>1.4833333333334586</v>
      </c>
      <c r="P16" s="5" t="s">
        <v>312</v>
      </c>
      <c r="Q16" s="5" t="s">
        <v>318</v>
      </c>
    </row>
    <row r="17" spans="1:17" x14ac:dyDescent="0.3">
      <c r="A17" s="2">
        <v>13</v>
      </c>
      <c r="B17" s="2" t="s">
        <v>89</v>
      </c>
      <c r="C17" s="2" t="s">
        <v>90</v>
      </c>
      <c r="D17" s="2" t="s">
        <v>91</v>
      </c>
      <c r="E17" s="2" t="s">
        <v>92</v>
      </c>
      <c r="F17" s="2" t="s">
        <v>93</v>
      </c>
      <c r="G17" s="2" t="s">
        <v>55</v>
      </c>
      <c r="H17" s="2" t="s">
        <v>25</v>
      </c>
      <c r="I17" s="2" t="s">
        <v>38</v>
      </c>
      <c r="J17" s="2" t="s">
        <v>27</v>
      </c>
      <c r="K17" s="3">
        <v>0.43440972222222224</v>
      </c>
      <c r="L17" s="3">
        <v>0.43466435185185187</v>
      </c>
      <c r="M17" s="3"/>
      <c r="N17" s="3">
        <v>0.43546296296296294</v>
      </c>
      <c r="O17" s="4">
        <f t="shared" si="0"/>
        <v>1.5166666666666107</v>
      </c>
      <c r="P17" s="2" t="s">
        <v>312</v>
      </c>
      <c r="Q17" s="2" t="s">
        <v>319</v>
      </c>
    </row>
    <row r="18" spans="1:17" x14ac:dyDescent="0.3">
      <c r="A18" s="5">
        <v>14</v>
      </c>
      <c r="B18" s="5" t="s">
        <v>94</v>
      </c>
      <c r="C18" s="5" t="s">
        <v>95</v>
      </c>
      <c r="D18" s="5" t="s">
        <v>96</v>
      </c>
      <c r="E18" s="5" t="s">
        <v>97</v>
      </c>
      <c r="F18" s="5" t="s">
        <v>98</v>
      </c>
      <c r="G18" s="5" t="s">
        <v>33</v>
      </c>
      <c r="H18" s="5" t="s">
        <v>25</v>
      </c>
      <c r="I18" s="5" t="s">
        <v>38</v>
      </c>
      <c r="J18" s="5" t="s">
        <v>27</v>
      </c>
      <c r="K18" s="6">
        <v>0.73311342592592588</v>
      </c>
      <c r="L18" s="6">
        <v>0.73311342592592588</v>
      </c>
      <c r="M18" s="6"/>
      <c r="N18" s="6">
        <v>0.74964120370370368</v>
      </c>
      <c r="O18" s="7">
        <f t="shared" si="0"/>
        <v>23.800000000000043</v>
      </c>
      <c r="P18" s="5" t="s">
        <v>312</v>
      </c>
      <c r="Q18" s="5" t="s">
        <v>320</v>
      </c>
    </row>
    <row r="19" spans="1:17" x14ac:dyDescent="0.3">
      <c r="A19" s="2">
        <v>15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103</v>
      </c>
      <c r="G19" s="2" t="s">
        <v>44</v>
      </c>
      <c r="H19" s="2" t="s">
        <v>45</v>
      </c>
      <c r="I19" s="2" t="s">
        <v>26</v>
      </c>
      <c r="J19" s="2" t="s">
        <v>27</v>
      </c>
      <c r="K19" s="3">
        <v>0.62503472222222223</v>
      </c>
      <c r="L19" s="3">
        <v>0.62594907407407407</v>
      </c>
      <c r="M19" s="3"/>
      <c r="N19" s="3">
        <v>0.62707175925925929</v>
      </c>
      <c r="O19" s="4">
        <f t="shared" si="0"/>
        <v>2.9333333333333655</v>
      </c>
      <c r="P19" s="2" t="s">
        <v>312</v>
      </c>
      <c r="Q19" s="2"/>
    </row>
    <row r="20" spans="1:17" x14ac:dyDescent="0.3">
      <c r="A20" s="5">
        <v>16</v>
      </c>
      <c r="B20" s="5" t="s">
        <v>104</v>
      </c>
      <c r="C20" s="5" t="s">
        <v>105</v>
      </c>
      <c r="D20" s="5" t="s">
        <v>106</v>
      </c>
      <c r="E20" s="5" t="s">
        <v>107</v>
      </c>
      <c r="F20" s="5" t="s">
        <v>108</v>
      </c>
      <c r="G20" s="5" t="s">
        <v>55</v>
      </c>
      <c r="H20" s="5" t="s">
        <v>25</v>
      </c>
      <c r="I20" s="5" t="s">
        <v>26</v>
      </c>
      <c r="J20" s="5" t="s">
        <v>27</v>
      </c>
      <c r="K20" s="6">
        <v>0.95771990740740742</v>
      </c>
      <c r="L20" s="6">
        <v>0.95859953703703704</v>
      </c>
      <c r="M20" s="6"/>
      <c r="N20" s="6">
        <v>0.95916666666666661</v>
      </c>
      <c r="O20" s="7">
        <f t="shared" si="0"/>
        <v>2.0833333333332327</v>
      </c>
      <c r="P20" s="5" t="s">
        <v>312</v>
      </c>
      <c r="Q20" s="5"/>
    </row>
    <row r="21" spans="1:17" x14ac:dyDescent="0.3">
      <c r="A21" s="2">
        <v>17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113</v>
      </c>
      <c r="G21" s="2" t="s">
        <v>88</v>
      </c>
      <c r="H21" s="2" t="s">
        <v>45</v>
      </c>
      <c r="I21" s="2" t="s">
        <v>26</v>
      </c>
      <c r="J21" s="2" t="s">
        <v>27</v>
      </c>
      <c r="K21" s="3">
        <v>0.53944444444444439</v>
      </c>
      <c r="L21" s="3">
        <v>0.54015046296296299</v>
      </c>
      <c r="M21" s="3"/>
      <c r="N21" s="3">
        <v>0.54070601851851852</v>
      </c>
      <c r="O21" s="4">
        <f t="shared" si="0"/>
        <v>1.8166666666667375</v>
      </c>
      <c r="P21" s="2" t="s">
        <v>312</v>
      </c>
      <c r="Q21" s="2"/>
    </row>
    <row r="22" spans="1:17" x14ac:dyDescent="0.3">
      <c r="A22" s="5">
        <v>18</v>
      </c>
      <c r="B22" s="5" t="s">
        <v>114</v>
      </c>
      <c r="C22" s="5" t="s">
        <v>115</v>
      </c>
      <c r="D22" s="5" t="s">
        <v>116</v>
      </c>
      <c r="E22" s="5" t="s">
        <v>117</v>
      </c>
      <c r="F22" s="5" t="s">
        <v>118</v>
      </c>
      <c r="G22" s="5" t="s">
        <v>44</v>
      </c>
      <c r="H22" s="5" t="s">
        <v>45</v>
      </c>
      <c r="I22" s="5" t="s">
        <v>26</v>
      </c>
      <c r="J22" s="5" t="s">
        <v>27</v>
      </c>
      <c r="K22" s="6">
        <v>0.19171296296296297</v>
      </c>
      <c r="L22" s="6">
        <v>0.19278935185185186</v>
      </c>
      <c r="M22" s="6"/>
      <c r="N22" s="6">
        <v>0.19386574074074073</v>
      </c>
      <c r="O22" s="7">
        <f t="shared" si="0"/>
        <v>3.099999999999965</v>
      </c>
      <c r="P22" s="5" t="s">
        <v>326</v>
      </c>
      <c r="Q22" s="5" t="s">
        <v>321</v>
      </c>
    </row>
    <row r="23" spans="1:17" x14ac:dyDescent="0.3">
      <c r="A23" s="2">
        <v>19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123</v>
      </c>
      <c r="G23" s="2" t="s">
        <v>61</v>
      </c>
      <c r="H23" s="2" t="s">
        <v>25</v>
      </c>
      <c r="I23" s="2" t="s">
        <v>26</v>
      </c>
      <c r="J23" s="2" t="s">
        <v>27</v>
      </c>
      <c r="K23" s="3">
        <v>0.69064814814814812</v>
      </c>
      <c r="L23" s="3">
        <v>0.69116898148148154</v>
      </c>
      <c r="M23" s="3"/>
      <c r="N23" s="3">
        <v>0.69259259259259254</v>
      </c>
      <c r="O23" s="4">
        <f t="shared" si="0"/>
        <v>2.7999999999999581</v>
      </c>
      <c r="P23" s="2" t="s">
        <v>312</v>
      </c>
      <c r="Q23" s="2"/>
    </row>
    <row r="24" spans="1:17" x14ac:dyDescent="0.3">
      <c r="A24" s="5">
        <v>20</v>
      </c>
      <c r="B24" s="5" t="s">
        <v>124</v>
      </c>
      <c r="C24" s="5" t="s">
        <v>125</v>
      </c>
      <c r="D24" s="5" t="s">
        <v>126</v>
      </c>
      <c r="E24" s="5" t="s">
        <v>127</v>
      </c>
      <c r="F24" s="5" t="s">
        <v>128</v>
      </c>
      <c r="G24" s="5" t="s">
        <v>61</v>
      </c>
      <c r="H24" s="5" t="s">
        <v>25</v>
      </c>
      <c r="I24" s="5" t="s">
        <v>38</v>
      </c>
      <c r="J24" s="5" t="s">
        <v>27</v>
      </c>
      <c r="K24" s="6">
        <v>0.54311342592592593</v>
      </c>
      <c r="L24" s="6">
        <v>0.54327546296296292</v>
      </c>
      <c r="M24" s="6"/>
      <c r="N24" s="6">
        <v>0.54417824074074073</v>
      </c>
      <c r="O24" s="7">
        <f t="shared" si="0"/>
        <v>1.5333333333333066</v>
      </c>
      <c r="P24" s="5" t="s">
        <v>312</v>
      </c>
      <c r="Q24" s="5"/>
    </row>
    <row r="25" spans="1:17" x14ac:dyDescent="0.3">
      <c r="A25" s="2">
        <v>21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133</v>
      </c>
      <c r="G25" s="2" t="s">
        <v>44</v>
      </c>
      <c r="H25" s="2" t="s">
        <v>45</v>
      </c>
      <c r="I25" s="2" t="s">
        <v>26</v>
      </c>
      <c r="J25" s="2" t="s">
        <v>27</v>
      </c>
      <c r="K25" s="3">
        <v>0.58343750000000005</v>
      </c>
      <c r="L25" s="3">
        <v>0.58359953703703704</v>
      </c>
      <c r="M25" s="3"/>
      <c r="N25" s="3">
        <v>0.58462962962962961</v>
      </c>
      <c r="O25" s="4">
        <f t="shared" si="0"/>
        <v>1.716666666666562</v>
      </c>
      <c r="P25" s="2" t="s">
        <v>312</v>
      </c>
      <c r="Q25" s="2"/>
    </row>
    <row r="26" spans="1:17" x14ac:dyDescent="0.3">
      <c r="A26" s="5">
        <v>22</v>
      </c>
      <c r="B26" s="5" t="s">
        <v>134</v>
      </c>
      <c r="C26" s="5" t="s">
        <v>135</v>
      </c>
      <c r="D26" s="5" t="s">
        <v>136</v>
      </c>
      <c r="E26" s="5" t="s">
        <v>137</v>
      </c>
      <c r="F26" s="5" t="s">
        <v>138</v>
      </c>
      <c r="G26" s="5" t="s">
        <v>55</v>
      </c>
      <c r="H26" s="5" t="s">
        <v>25</v>
      </c>
      <c r="I26" s="5" t="s">
        <v>26</v>
      </c>
      <c r="J26" s="5" t="s">
        <v>27</v>
      </c>
      <c r="K26" s="6">
        <v>0.43956018518518519</v>
      </c>
      <c r="L26" s="6">
        <v>0.4397685185185185</v>
      </c>
      <c r="M26" s="6"/>
      <c r="N26" s="6">
        <v>0.44671296296296298</v>
      </c>
      <c r="O26" s="7">
        <f t="shared" si="0"/>
        <v>10.300000000000011</v>
      </c>
      <c r="P26" s="5" t="s">
        <v>312</v>
      </c>
      <c r="Q26" s="5"/>
    </row>
    <row r="27" spans="1:17" x14ac:dyDescent="0.3">
      <c r="A27" s="2">
        <v>23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143</v>
      </c>
      <c r="G27" s="2" t="s">
        <v>67</v>
      </c>
      <c r="H27" s="2" t="s">
        <v>25</v>
      </c>
      <c r="I27" s="2" t="s">
        <v>38</v>
      </c>
      <c r="J27" s="2" t="s">
        <v>27</v>
      </c>
      <c r="K27" s="3">
        <v>0.41684027777777777</v>
      </c>
      <c r="L27" s="3">
        <v>0.4168634259259259</v>
      </c>
      <c r="M27" s="3"/>
      <c r="N27" s="3">
        <v>0.41745370370370372</v>
      </c>
      <c r="O27" s="4">
        <f t="shared" si="0"/>
        <v>0.88333333333336483</v>
      </c>
      <c r="P27" s="2" t="s">
        <v>312</v>
      </c>
      <c r="Q27" s="2" t="s">
        <v>322</v>
      </c>
    </row>
    <row r="28" spans="1:17" x14ac:dyDescent="0.3">
      <c r="A28" s="5">
        <v>24</v>
      </c>
      <c r="B28" s="5" t="s">
        <v>144</v>
      </c>
      <c r="C28" s="5" t="s">
        <v>145</v>
      </c>
      <c r="D28" s="5" t="s">
        <v>146</v>
      </c>
      <c r="E28" s="5" t="s">
        <v>147</v>
      </c>
      <c r="F28" s="5" t="s">
        <v>148</v>
      </c>
      <c r="G28" s="5" t="s">
        <v>33</v>
      </c>
      <c r="H28" s="5" t="s">
        <v>25</v>
      </c>
      <c r="I28" s="5" t="s">
        <v>26</v>
      </c>
      <c r="J28" s="5" t="s">
        <v>27</v>
      </c>
      <c r="K28" s="6">
        <v>0.51673611111111106</v>
      </c>
      <c r="L28" s="6">
        <v>0.51787037037037043</v>
      </c>
      <c r="M28" s="6"/>
      <c r="N28" s="6">
        <v>0.53651620370370368</v>
      </c>
      <c r="O28" s="7">
        <f t="shared" si="0"/>
        <v>28.483333333333363</v>
      </c>
      <c r="P28" s="5" t="s">
        <v>312</v>
      </c>
      <c r="Q28" s="5" t="s">
        <v>323</v>
      </c>
    </row>
    <row r="29" spans="1:17" x14ac:dyDescent="0.3">
      <c r="A29" s="2">
        <v>25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153</v>
      </c>
      <c r="G29" s="2" t="s">
        <v>24</v>
      </c>
      <c r="H29" s="2" t="s">
        <v>25</v>
      </c>
      <c r="I29" s="2" t="s">
        <v>26</v>
      </c>
      <c r="J29" s="2" t="s">
        <v>27</v>
      </c>
      <c r="K29" s="3">
        <v>0.70914351851851853</v>
      </c>
      <c r="L29" s="3">
        <v>0.70962962962962961</v>
      </c>
      <c r="M29" s="3"/>
      <c r="N29" s="3">
        <v>0.71019675925925929</v>
      </c>
      <c r="O29" s="4">
        <f t="shared" si="0"/>
        <v>1.5166666666666906</v>
      </c>
      <c r="P29" s="2" t="s">
        <v>312</v>
      </c>
      <c r="Q29" s="2"/>
    </row>
    <row r="30" spans="1:17" x14ac:dyDescent="0.3">
      <c r="A30" s="5">
        <v>26</v>
      </c>
      <c r="B30" s="5" t="s">
        <v>154</v>
      </c>
      <c r="C30" s="5" t="s">
        <v>155</v>
      </c>
      <c r="D30" s="5" t="s">
        <v>156</v>
      </c>
      <c r="E30" s="5" t="s">
        <v>157</v>
      </c>
      <c r="F30" s="5" t="s">
        <v>158</v>
      </c>
      <c r="G30" s="5" t="s">
        <v>61</v>
      </c>
      <c r="H30" s="5" t="s">
        <v>25</v>
      </c>
      <c r="I30" s="5" t="s">
        <v>38</v>
      </c>
      <c r="J30" s="5" t="s">
        <v>27</v>
      </c>
      <c r="K30" s="6">
        <v>0.81626157407407407</v>
      </c>
      <c r="L30" s="6">
        <v>0.81626157407407407</v>
      </c>
      <c r="M30" s="6"/>
      <c r="N30" s="6">
        <v>0.81791666666666663</v>
      </c>
      <c r="O30" s="7">
        <f t="shared" si="0"/>
        <v>2.3833333333332796</v>
      </c>
      <c r="P30" s="5" t="s">
        <v>312</v>
      </c>
      <c r="Q30" s="5" t="s">
        <v>320</v>
      </c>
    </row>
    <row r="31" spans="1:17" x14ac:dyDescent="0.3">
      <c r="A31" s="2">
        <v>27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163</v>
      </c>
      <c r="G31" s="2" t="s">
        <v>88</v>
      </c>
      <c r="H31" s="2" t="s">
        <v>45</v>
      </c>
      <c r="I31" s="2" t="s">
        <v>26</v>
      </c>
      <c r="J31" s="2" t="s">
        <v>27</v>
      </c>
      <c r="K31" s="3">
        <v>0.36832175925925925</v>
      </c>
      <c r="L31" s="3">
        <v>0.36932870370370369</v>
      </c>
      <c r="M31" s="3"/>
      <c r="N31" s="3">
        <v>0.36971064814814814</v>
      </c>
      <c r="O31" s="4">
        <f t="shared" si="0"/>
        <v>1.9999999999999929</v>
      </c>
      <c r="P31" s="2" t="s">
        <v>312</v>
      </c>
      <c r="Q31" s="2"/>
    </row>
    <row r="32" spans="1:17" x14ac:dyDescent="0.3">
      <c r="A32" s="5">
        <v>28</v>
      </c>
      <c r="B32" s="5" t="s">
        <v>164</v>
      </c>
      <c r="C32" s="5" t="s">
        <v>165</v>
      </c>
      <c r="D32" s="5" t="s">
        <v>166</v>
      </c>
      <c r="E32" s="5" t="s">
        <v>167</v>
      </c>
      <c r="F32" s="5" t="s">
        <v>167</v>
      </c>
      <c r="G32" s="5" t="s">
        <v>24</v>
      </c>
      <c r="H32" s="5" t="s">
        <v>25</v>
      </c>
      <c r="I32" s="5"/>
      <c r="J32" s="5" t="s">
        <v>27</v>
      </c>
      <c r="K32" s="6" t="s">
        <v>332</v>
      </c>
      <c r="L32" s="6" t="s">
        <v>331</v>
      </c>
      <c r="M32" s="6"/>
      <c r="N32" s="6" t="s">
        <v>333</v>
      </c>
      <c r="O32" s="7" t="str">
        <f t="shared" si="0"/>
        <v/>
      </c>
      <c r="P32" s="5"/>
      <c r="Q32" s="5" t="s">
        <v>324</v>
      </c>
    </row>
    <row r="33" spans="1:17" x14ac:dyDescent="0.3">
      <c r="A33" s="2">
        <v>29</v>
      </c>
      <c r="B33" s="2" t="s">
        <v>168</v>
      </c>
      <c r="C33" s="2" t="s">
        <v>169</v>
      </c>
      <c r="D33" s="2" t="s">
        <v>170</v>
      </c>
      <c r="E33" s="2" t="s">
        <v>171</v>
      </c>
      <c r="F33" s="2" t="s">
        <v>172</v>
      </c>
      <c r="G33" s="2" t="s">
        <v>55</v>
      </c>
      <c r="H33" s="2" t="s">
        <v>25</v>
      </c>
      <c r="I33" s="2" t="s">
        <v>26</v>
      </c>
      <c r="J33" s="2" t="s">
        <v>27</v>
      </c>
      <c r="K33" s="3">
        <v>0.32118055555555558</v>
      </c>
      <c r="L33" s="3">
        <v>0.32175925925925924</v>
      </c>
      <c r="M33" s="3"/>
      <c r="N33" s="3">
        <v>0.32520833333333332</v>
      </c>
      <c r="O33" s="4">
        <f t="shared" si="0"/>
        <v>5.7999999999999474</v>
      </c>
      <c r="P33" s="2" t="s">
        <v>312</v>
      </c>
      <c r="Q33" s="2"/>
    </row>
    <row r="34" spans="1:17" x14ac:dyDescent="0.3">
      <c r="A34" s="5">
        <v>30</v>
      </c>
      <c r="B34" s="5" t="s">
        <v>173</v>
      </c>
      <c r="C34" s="5" t="s">
        <v>174</v>
      </c>
      <c r="D34" s="5" t="s">
        <v>175</v>
      </c>
      <c r="E34" s="5" t="s">
        <v>176</v>
      </c>
      <c r="F34" s="5" t="s">
        <v>177</v>
      </c>
      <c r="G34" s="5" t="s">
        <v>24</v>
      </c>
      <c r="H34" s="5" t="s">
        <v>25</v>
      </c>
      <c r="I34" s="5" t="s">
        <v>38</v>
      </c>
      <c r="J34" s="5" t="s">
        <v>27</v>
      </c>
      <c r="K34" s="6">
        <v>0.99479166666666663</v>
      </c>
      <c r="L34" s="6">
        <v>0.99479166666666663</v>
      </c>
      <c r="M34" s="6"/>
      <c r="N34" s="6">
        <v>0.99918981481481484</v>
      </c>
      <c r="O34" s="7">
        <f t="shared" si="0"/>
        <v>6.3333333333334174</v>
      </c>
      <c r="P34" s="5" t="s">
        <v>312</v>
      </c>
      <c r="Q34" s="5"/>
    </row>
    <row r="35" spans="1:17" x14ac:dyDescent="0.3">
      <c r="A35" s="2">
        <v>31</v>
      </c>
      <c r="B35" s="2" t="s">
        <v>178</v>
      </c>
      <c r="C35" s="2" t="s">
        <v>179</v>
      </c>
      <c r="D35" s="2" t="s">
        <v>180</v>
      </c>
      <c r="E35" s="2" t="s">
        <v>181</v>
      </c>
      <c r="F35" s="2" t="s">
        <v>182</v>
      </c>
      <c r="G35" s="2" t="s">
        <v>33</v>
      </c>
      <c r="H35" s="2" t="s">
        <v>25</v>
      </c>
      <c r="I35" s="2" t="s">
        <v>38</v>
      </c>
      <c r="J35" s="2" t="s">
        <v>27</v>
      </c>
      <c r="K35" s="3">
        <v>0.38466435185185183</v>
      </c>
      <c r="L35" s="3">
        <v>0.38466435185185183</v>
      </c>
      <c r="M35" s="3"/>
      <c r="N35" s="3">
        <v>0.3850925925925926</v>
      </c>
      <c r="O35" s="4">
        <f t="shared" si="0"/>
        <v>0.61666666666670977</v>
      </c>
      <c r="P35" s="2" t="s">
        <v>312</v>
      </c>
      <c r="Q35" s="2" t="s">
        <v>325</v>
      </c>
    </row>
    <row r="36" spans="1:17" x14ac:dyDescent="0.3">
      <c r="A36" s="5">
        <v>32</v>
      </c>
      <c r="B36" s="5" t="s">
        <v>183</v>
      </c>
      <c r="C36" s="5" t="s">
        <v>184</v>
      </c>
      <c r="D36" s="5" t="s">
        <v>180</v>
      </c>
      <c r="E36" s="5" t="s">
        <v>185</v>
      </c>
      <c r="F36" s="5" t="s">
        <v>186</v>
      </c>
      <c r="G36" s="5" t="s">
        <v>33</v>
      </c>
      <c r="H36" s="5" t="s">
        <v>25</v>
      </c>
      <c r="I36" s="5" t="s">
        <v>38</v>
      </c>
      <c r="J36" s="5" t="s">
        <v>27</v>
      </c>
      <c r="K36" s="6">
        <v>0.91842592592592598</v>
      </c>
      <c r="L36" s="6">
        <v>0.92398148148148151</v>
      </c>
      <c r="M36" s="6"/>
      <c r="N36" s="6">
        <v>0.92546296296296293</v>
      </c>
      <c r="O36" s="7">
        <f t="shared" si="0"/>
        <v>10.133333333333212</v>
      </c>
      <c r="P36" s="5" t="s">
        <v>326</v>
      </c>
      <c r="Q36" s="5" t="s">
        <v>321</v>
      </c>
    </row>
    <row r="37" spans="1:17" x14ac:dyDescent="0.3">
      <c r="A37" s="2">
        <v>33</v>
      </c>
      <c r="B37" s="2" t="s">
        <v>187</v>
      </c>
      <c r="C37" s="2" t="s">
        <v>188</v>
      </c>
      <c r="D37" s="2" t="s">
        <v>189</v>
      </c>
      <c r="E37" s="2" t="s">
        <v>190</v>
      </c>
      <c r="F37" s="2" t="s">
        <v>191</v>
      </c>
      <c r="G37" s="2" t="s">
        <v>55</v>
      </c>
      <c r="H37" s="2" t="s">
        <v>25</v>
      </c>
      <c r="I37" s="2" t="s">
        <v>26</v>
      </c>
      <c r="J37" s="2" t="s">
        <v>27</v>
      </c>
      <c r="K37" s="3">
        <v>0.66065972222222225</v>
      </c>
      <c r="L37" s="3">
        <v>0.66093749999999996</v>
      </c>
      <c r="M37" s="3"/>
      <c r="N37" s="3">
        <v>0.66140046296296295</v>
      </c>
      <c r="O37" s="4">
        <f t="shared" ref="O37:O54" si="1">IF(AND(ISNUMBER(K37),ISNUMBER(N37)),(N37-K37)*1440,"")</f>
        <v>1.0666666666666202</v>
      </c>
      <c r="P37" s="2" t="s">
        <v>312</v>
      </c>
      <c r="Q37" s="2"/>
    </row>
    <row r="38" spans="1:17" x14ac:dyDescent="0.3">
      <c r="A38" s="5">
        <v>34</v>
      </c>
      <c r="B38" s="5" t="s">
        <v>192</v>
      </c>
      <c r="C38" s="5" t="s">
        <v>193</v>
      </c>
      <c r="D38" s="5" t="s">
        <v>194</v>
      </c>
      <c r="E38" s="5" t="s">
        <v>195</v>
      </c>
      <c r="F38" s="5" t="s">
        <v>196</v>
      </c>
      <c r="G38" s="5" t="s">
        <v>44</v>
      </c>
      <c r="H38" s="5" t="s">
        <v>45</v>
      </c>
      <c r="I38" s="5" t="s">
        <v>38</v>
      </c>
      <c r="J38" s="5" t="s">
        <v>27</v>
      </c>
      <c r="K38" s="6">
        <v>0.87809027777777782</v>
      </c>
      <c r="L38" s="6">
        <v>0.87809027777777782</v>
      </c>
      <c r="M38" s="6"/>
      <c r="N38" s="6">
        <v>0.87876157407407407</v>
      </c>
      <c r="O38" s="7">
        <f t="shared" si="1"/>
        <v>0.96666666666660461</v>
      </c>
      <c r="P38" s="5" t="s">
        <v>312</v>
      </c>
      <c r="Q38" s="5" t="s">
        <v>320</v>
      </c>
    </row>
    <row r="39" spans="1:17" x14ac:dyDescent="0.3">
      <c r="A39" s="2">
        <v>35</v>
      </c>
      <c r="B39" s="2" t="s">
        <v>197</v>
      </c>
      <c r="C39" s="2" t="s">
        <v>198</v>
      </c>
      <c r="D39" s="2" t="s">
        <v>199</v>
      </c>
      <c r="E39" s="2" t="s">
        <v>200</v>
      </c>
      <c r="F39" s="2" t="s">
        <v>201</v>
      </c>
      <c r="G39" s="2" t="s">
        <v>33</v>
      </c>
      <c r="H39" s="2" t="s">
        <v>25</v>
      </c>
      <c r="I39" s="2" t="s">
        <v>26</v>
      </c>
      <c r="J39" s="2" t="s">
        <v>27</v>
      </c>
      <c r="K39" s="3">
        <v>0.70561342592592591</v>
      </c>
      <c r="L39" s="3">
        <v>0.70609953703703698</v>
      </c>
      <c r="M39" s="3"/>
      <c r="N39" s="3">
        <v>0.71546296296296297</v>
      </c>
      <c r="O39" s="4">
        <f t="shared" si="1"/>
        <v>14.183333333333366</v>
      </c>
      <c r="P39" s="2" t="s">
        <v>312</v>
      </c>
      <c r="Q39" s="2"/>
    </row>
    <row r="40" spans="1:17" x14ac:dyDescent="0.3">
      <c r="A40" s="5">
        <v>36</v>
      </c>
      <c r="B40" s="5" t="s">
        <v>202</v>
      </c>
      <c r="C40" s="5" t="s">
        <v>203</v>
      </c>
      <c r="D40" s="5" t="s">
        <v>204</v>
      </c>
      <c r="E40" s="5" t="s">
        <v>205</v>
      </c>
      <c r="F40" s="5" t="s">
        <v>206</v>
      </c>
      <c r="G40" s="5" t="s">
        <v>33</v>
      </c>
      <c r="H40" s="5" t="s">
        <v>25</v>
      </c>
      <c r="I40" s="5" t="s">
        <v>26</v>
      </c>
      <c r="J40" s="5" t="s">
        <v>27</v>
      </c>
      <c r="K40" s="6">
        <v>0.17901620370370369</v>
      </c>
      <c r="L40" s="6">
        <v>0.17988425925925927</v>
      </c>
      <c r="M40" s="6"/>
      <c r="N40" s="6">
        <v>0.19885416666666667</v>
      </c>
      <c r="O40" s="7">
        <f t="shared" si="1"/>
        <v>28.566666666666684</v>
      </c>
      <c r="P40" s="5" t="s">
        <v>312</v>
      </c>
      <c r="Q40" s="5" t="s">
        <v>327</v>
      </c>
    </row>
    <row r="41" spans="1:17" x14ac:dyDescent="0.3">
      <c r="A41" s="2">
        <v>37</v>
      </c>
      <c r="B41" s="2" t="s">
        <v>207</v>
      </c>
      <c r="C41" s="2" t="s">
        <v>208</v>
      </c>
      <c r="D41" s="2" t="s">
        <v>204</v>
      </c>
      <c r="E41" s="2" t="s">
        <v>209</v>
      </c>
      <c r="F41" s="2" t="s">
        <v>210</v>
      </c>
      <c r="G41" s="2" t="s">
        <v>33</v>
      </c>
      <c r="H41" s="2" t="s">
        <v>25</v>
      </c>
      <c r="I41" s="2" t="s">
        <v>26</v>
      </c>
      <c r="J41" s="2" t="s">
        <v>27</v>
      </c>
      <c r="K41" s="3">
        <v>0.39655092592592595</v>
      </c>
      <c r="L41" s="3" t="s">
        <v>331</v>
      </c>
      <c r="M41" s="3"/>
      <c r="N41" s="3">
        <v>0.39760416666666665</v>
      </c>
      <c r="O41" s="4">
        <f t="shared" si="1"/>
        <v>1.5166666666666107</v>
      </c>
      <c r="P41" s="2" t="s">
        <v>326</v>
      </c>
      <c r="Q41" s="2" t="s">
        <v>322</v>
      </c>
    </row>
    <row r="42" spans="1:17" x14ac:dyDescent="0.3">
      <c r="A42" s="5">
        <v>38</v>
      </c>
      <c r="B42" s="5" t="s">
        <v>211</v>
      </c>
      <c r="C42" s="5" t="s">
        <v>212</v>
      </c>
      <c r="D42" s="5" t="s">
        <v>213</v>
      </c>
      <c r="E42" s="5" t="s">
        <v>214</v>
      </c>
      <c r="F42" s="5" t="s">
        <v>215</v>
      </c>
      <c r="G42" s="5" t="s">
        <v>24</v>
      </c>
      <c r="H42" s="5" t="s">
        <v>25</v>
      </c>
      <c r="I42" s="5" t="s">
        <v>26</v>
      </c>
      <c r="J42" s="5" t="s">
        <v>27</v>
      </c>
      <c r="K42" s="6">
        <v>0.42767361111111113</v>
      </c>
      <c r="L42" s="6">
        <v>0.42844907407407407</v>
      </c>
      <c r="M42" s="6"/>
      <c r="N42" s="6">
        <v>0.42986111111111114</v>
      </c>
      <c r="O42" s="7">
        <f t="shared" si="1"/>
        <v>3.1500000000000128</v>
      </c>
      <c r="P42" s="5" t="s">
        <v>312</v>
      </c>
      <c r="Q42" s="5"/>
    </row>
    <row r="43" spans="1:17" x14ac:dyDescent="0.3">
      <c r="A43" s="2">
        <v>39</v>
      </c>
      <c r="B43" s="2" t="s">
        <v>216</v>
      </c>
      <c r="C43" s="2" t="s">
        <v>217</v>
      </c>
      <c r="D43" s="2" t="s">
        <v>218</v>
      </c>
      <c r="E43" s="2" t="s">
        <v>219</v>
      </c>
      <c r="F43" s="2" t="s">
        <v>220</v>
      </c>
      <c r="G43" s="2" t="s">
        <v>33</v>
      </c>
      <c r="H43" s="2" t="s">
        <v>25</v>
      </c>
      <c r="I43" s="2" t="s">
        <v>26</v>
      </c>
      <c r="J43" s="2" t="s">
        <v>27</v>
      </c>
      <c r="K43" s="3">
        <v>0.39401620370370372</v>
      </c>
      <c r="L43" s="3" t="s">
        <v>331</v>
      </c>
      <c r="M43" s="3"/>
      <c r="N43" s="3">
        <v>0.39586805555555554</v>
      </c>
      <c r="O43" s="4">
        <f t="shared" si="1"/>
        <v>2.6666666666666305</v>
      </c>
      <c r="P43" s="2" t="s">
        <v>326</v>
      </c>
      <c r="Q43" s="2" t="s">
        <v>328</v>
      </c>
    </row>
    <row r="44" spans="1:17" x14ac:dyDescent="0.3">
      <c r="A44" s="5">
        <v>40</v>
      </c>
      <c r="B44" s="5" t="s">
        <v>221</v>
      </c>
      <c r="C44" s="5" t="s">
        <v>222</v>
      </c>
      <c r="D44" s="5" t="s">
        <v>223</v>
      </c>
      <c r="E44" s="5" t="s">
        <v>224</v>
      </c>
      <c r="F44" s="5" t="s">
        <v>224</v>
      </c>
      <c r="G44" s="5" t="s">
        <v>67</v>
      </c>
      <c r="H44" s="5" t="s">
        <v>25</v>
      </c>
      <c r="I44" s="5"/>
      <c r="J44" s="5" t="s">
        <v>27</v>
      </c>
      <c r="K44" s="6">
        <v>0.56201388888888892</v>
      </c>
      <c r="L44" s="6">
        <v>0.59789351851851846</v>
      </c>
      <c r="M44" s="6"/>
      <c r="N44" s="6">
        <v>0.59796296296296292</v>
      </c>
      <c r="O44" s="7">
        <f t="shared" si="1"/>
        <v>51.766666666666552</v>
      </c>
      <c r="P44" s="5" t="s">
        <v>326</v>
      </c>
      <c r="Q44" s="5" t="s">
        <v>329</v>
      </c>
    </row>
    <row r="45" spans="1:17" x14ac:dyDescent="0.3">
      <c r="A45" s="2">
        <v>41</v>
      </c>
      <c r="B45" s="2" t="s">
        <v>225</v>
      </c>
      <c r="C45" s="2" t="s">
        <v>226</v>
      </c>
      <c r="D45" s="2" t="s">
        <v>227</v>
      </c>
      <c r="E45" s="2" t="s">
        <v>228</v>
      </c>
      <c r="F45" s="2" t="s">
        <v>229</v>
      </c>
      <c r="G45" s="2" t="s">
        <v>33</v>
      </c>
      <c r="H45" s="2" t="s">
        <v>25</v>
      </c>
      <c r="I45" s="2" t="s">
        <v>26</v>
      </c>
      <c r="J45" s="2" t="s">
        <v>27</v>
      </c>
      <c r="K45" s="3">
        <v>0.62607638888888884</v>
      </c>
      <c r="L45" s="3" t="s">
        <v>331</v>
      </c>
      <c r="M45" s="3"/>
      <c r="N45" s="3">
        <v>0.62719907407407405</v>
      </c>
      <c r="O45" s="4">
        <f t="shared" si="1"/>
        <v>1.6166666666667062</v>
      </c>
      <c r="P45" s="2" t="s">
        <v>326</v>
      </c>
      <c r="Q45" s="2" t="s">
        <v>330</v>
      </c>
    </row>
    <row r="46" spans="1:17" x14ac:dyDescent="0.3">
      <c r="A46" s="5">
        <v>42</v>
      </c>
      <c r="B46" s="5" t="s">
        <v>230</v>
      </c>
      <c r="C46" s="5" t="s">
        <v>231</v>
      </c>
      <c r="D46" s="5" t="s">
        <v>232</v>
      </c>
      <c r="E46" s="5" t="s">
        <v>233</v>
      </c>
      <c r="F46" s="5" t="s">
        <v>234</v>
      </c>
      <c r="G46" s="5" t="s">
        <v>24</v>
      </c>
      <c r="H46" s="5" t="s">
        <v>25</v>
      </c>
      <c r="I46" s="5" t="s">
        <v>26</v>
      </c>
      <c r="J46" s="5" t="s">
        <v>27</v>
      </c>
      <c r="K46" s="6">
        <v>0.80063657407407407</v>
      </c>
      <c r="L46" s="6">
        <v>0.80155092592592592</v>
      </c>
      <c r="M46" s="6"/>
      <c r="N46" s="6">
        <v>0.80219907407407409</v>
      </c>
      <c r="O46" s="7">
        <f t="shared" si="1"/>
        <v>2.250000000000032</v>
      </c>
      <c r="P46" s="5" t="s">
        <v>326</v>
      </c>
      <c r="Q46" s="5"/>
    </row>
    <row r="47" spans="1:17" x14ac:dyDescent="0.3">
      <c r="A47" s="2">
        <v>43</v>
      </c>
      <c r="B47" s="2" t="s">
        <v>235</v>
      </c>
      <c r="C47" s="2" t="s">
        <v>236</v>
      </c>
      <c r="D47" s="2" t="s">
        <v>237</v>
      </c>
      <c r="E47" s="2" t="s">
        <v>238</v>
      </c>
      <c r="F47" s="2" t="s">
        <v>239</v>
      </c>
      <c r="G47" s="2" t="s">
        <v>67</v>
      </c>
      <c r="H47" s="2" t="s">
        <v>25</v>
      </c>
      <c r="I47" s="2" t="s">
        <v>26</v>
      </c>
      <c r="J47" s="2" t="s">
        <v>27</v>
      </c>
      <c r="K47" s="3">
        <v>0.73422453703703705</v>
      </c>
      <c r="L47" s="3">
        <v>0.73504629629629625</v>
      </c>
      <c r="M47" s="3"/>
      <c r="N47" s="3">
        <v>0.73562499999999997</v>
      </c>
      <c r="O47" s="4">
        <f t="shared" si="1"/>
        <v>2.0166666666666089</v>
      </c>
      <c r="P47" s="2" t="s">
        <v>312</v>
      </c>
      <c r="Q47" s="2"/>
    </row>
    <row r="48" spans="1:17" x14ac:dyDescent="0.3">
      <c r="A48" s="5">
        <v>44</v>
      </c>
      <c r="B48" s="5" t="s">
        <v>240</v>
      </c>
      <c r="C48" s="5" t="s">
        <v>241</v>
      </c>
      <c r="D48" s="5" t="s">
        <v>242</v>
      </c>
      <c r="E48" s="5" t="s">
        <v>243</v>
      </c>
      <c r="F48" s="5" t="s">
        <v>244</v>
      </c>
      <c r="G48" s="5" t="s">
        <v>61</v>
      </c>
      <c r="H48" s="5" t="s">
        <v>25</v>
      </c>
      <c r="I48" s="5" t="s">
        <v>26</v>
      </c>
      <c r="J48" s="5" t="s">
        <v>27</v>
      </c>
      <c r="K48" s="6">
        <v>0.73238425925925921</v>
      </c>
      <c r="L48" s="6">
        <v>0.73420138888888886</v>
      </c>
      <c r="M48" s="6"/>
      <c r="N48" s="6">
        <v>0.73935185185185182</v>
      </c>
      <c r="O48" s="7">
        <f t="shared" si="1"/>
        <v>10.033333333333356</v>
      </c>
      <c r="P48" s="5" t="s">
        <v>312</v>
      </c>
      <c r="Q48" s="5"/>
    </row>
    <row r="49" spans="1:17" x14ac:dyDescent="0.3">
      <c r="A49" s="2">
        <v>45</v>
      </c>
      <c r="B49" s="2" t="s">
        <v>245</v>
      </c>
      <c r="C49" s="2" t="s">
        <v>246</v>
      </c>
      <c r="D49" s="2" t="s">
        <v>247</v>
      </c>
      <c r="E49" s="2" t="s">
        <v>248</v>
      </c>
      <c r="F49" s="2" t="s">
        <v>248</v>
      </c>
      <c r="G49" s="2" t="s">
        <v>55</v>
      </c>
      <c r="H49" s="2" t="s">
        <v>25</v>
      </c>
      <c r="I49" s="2"/>
      <c r="J49" s="2" t="s">
        <v>27</v>
      </c>
      <c r="K49" s="3">
        <v>0.71545138888888893</v>
      </c>
      <c r="L49" s="3">
        <v>0.71545138888888893</v>
      </c>
      <c r="M49" s="3"/>
      <c r="N49" s="3">
        <v>0.71945601851851848</v>
      </c>
      <c r="O49" s="4">
        <f t="shared" si="1"/>
        <v>5.7666666666665556</v>
      </c>
      <c r="P49" s="2" t="s">
        <v>312</v>
      </c>
      <c r="Q49" s="2"/>
    </row>
    <row r="50" spans="1:17" x14ac:dyDescent="0.3">
      <c r="A50" s="5">
        <v>46</v>
      </c>
      <c r="B50" s="5" t="s">
        <v>249</v>
      </c>
      <c r="C50" s="5" t="s">
        <v>250</v>
      </c>
      <c r="D50" s="5" t="s">
        <v>251</v>
      </c>
      <c r="E50" s="5" t="s">
        <v>252</v>
      </c>
      <c r="F50" s="5" t="s">
        <v>253</v>
      </c>
      <c r="G50" s="5" t="s">
        <v>55</v>
      </c>
      <c r="H50" s="5" t="s">
        <v>25</v>
      </c>
      <c r="I50" s="5" t="s">
        <v>38</v>
      </c>
      <c r="J50" s="5" t="s">
        <v>27</v>
      </c>
      <c r="K50" s="6">
        <v>0.33997685185185184</v>
      </c>
      <c r="L50" s="6">
        <v>0.33961805555555558</v>
      </c>
      <c r="M50" s="6"/>
      <c r="N50" s="6">
        <v>0.34096064814814814</v>
      </c>
      <c r="O50" s="7">
        <f t="shared" si="1"/>
        <v>1.416666666666675</v>
      </c>
      <c r="P50" s="5" t="s">
        <v>312</v>
      </c>
      <c r="Q50" s="5" t="s">
        <v>320</v>
      </c>
    </row>
    <row r="51" spans="1:17" x14ac:dyDescent="0.3">
      <c r="A51" s="2">
        <v>47</v>
      </c>
      <c r="B51" s="2" t="s">
        <v>254</v>
      </c>
      <c r="C51" s="2" t="s">
        <v>255</v>
      </c>
      <c r="D51" s="2" t="s">
        <v>256</v>
      </c>
      <c r="E51" s="2" t="s">
        <v>257</v>
      </c>
      <c r="F51" s="2" t="s">
        <v>258</v>
      </c>
      <c r="G51" s="2" t="s">
        <v>55</v>
      </c>
      <c r="H51" s="2" t="s">
        <v>25</v>
      </c>
      <c r="I51" s="2" t="s">
        <v>26</v>
      </c>
      <c r="J51" s="2" t="s">
        <v>27</v>
      </c>
      <c r="K51" s="3">
        <v>4.0300925925925928E-2</v>
      </c>
      <c r="L51" s="3">
        <v>4.1122685185185186E-2</v>
      </c>
      <c r="M51" s="3"/>
      <c r="N51" s="3">
        <v>4.4201388888888887E-2</v>
      </c>
      <c r="O51" s="4">
        <f t="shared" si="1"/>
        <v>5.6166666666666618</v>
      </c>
      <c r="P51" s="2" t="s">
        <v>312</v>
      </c>
      <c r="Q51" s="2"/>
    </row>
    <row r="52" spans="1:17" x14ac:dyDescent="0.3">
      <c r="A52" s="5">
        <v>48</v>
      </c>
      <c r="B52" s="5" t="s">
        <v>259</v>
      </c>
      <c r="C52" s="5" t="s">
        <v>260</v>
      </c>
      <c r="D52" s="5" t="s">
        <v>261</v>
      </c>
      <c r="E52" s="5" t="s">
        <v>262</v>
      </c>
      <c r="F52" s="5" t="s">
        <v>191</v>
      </c>
      <c r="G52" s="5" t="s">
        <v>33</v>
      </c>
      <c r="H52" s="5" t="s">
        <v>25</v>
      </c>
      <c r="I52" s="5" t="s">
        <v>38</v>
      </c>
      <c r="J52" s="5" t="s">
        <v>27</v>
      </c>
      <c r="K52" s="6">
        <v>0.66065972222222225</v>
      </c>
      <c r="L52" s="6">
        <v>0.66065972222222225</v>
      </c>
      <c r="M52" s="6"/>
      <c r="N52" s="6">
        <v>0.67011574074074076</v>
      </c>
      <c r="O52" s="7">
        <f t="shared" si="1"/>
        <v>13.616666666666664</v>
      </c>
      <c r="P52" s="5" t="s">
        <v>312</v>
      </c>
      <c r="Q52" s="5"/>
    </row>
    <row r="53" spans="1:17" x14ac:dyDescent="0.3">
      <c r="A53" s="2">
        <v>49</v>
      </c>
      <c r="B53" s="2" t="s">
        <v>263</v>
      </c>
      <c r="C53" s="2" t="s">
        <v>264</v>
      </c>
      <c r="D53" s="2" t="s">
        <v>265</v>
      </c>
      <c r="E53" s="2" t="s">
        <v>266</v>
      </c>
      <c r="F53" s="2" t="s">
        <v>267</v>
      </c>
      <c r="G53" s="2" t="s">
        <v>24</v>
      </c>
      <c r="H53" s="2" t="s">
        <v>25</v>
      </c>
      <c r="I53" s="2" t="s">
        <v>26</v>
      </c>
      <c r="J53" s="2" t="s">
        <v>27</v>
      </c>
      <c r="K53" s="3">
        <v>0.50998842592592597</v>
      </c>
      <c r="L53" s="3">
        <v>0.51077546296296295</v>
      </c>
      <c r="M53" s="3"/>
      <c r="N53" s="3">
        <v>0.51106481481481481</v>
      </c>
      <c r="O53" s="4">
        <f t="shared" si="1"/>
        <v>1.5499999999999226</v>
      </c>
      <c r="P53" s="2" t="s">
        <v>312</v>
      </c>
      <c r="Q53" s="2" t="s">
        <v>334</v>
      </c>
    </row>
    <row r="54" spans="1:17" x14ac:dyDescent="0.3">
      <c r="A54" s="5">
        <v>50</v>
      </c>
      <c r="B54" s="5" t="s">
        <v>268</v>
      </c>
      <c r="C54" s="5" t="s">
        <v>269</v>
      </c>
      <c r="D54" s="5" t="s">
        <v>270</v>
      </c>
      <c r="E54" s="5" t="s">
        <v>271</v>
      </c>
      <c r="F54" s="5" t="s">
        <v>272</v>
      </c>
      <c r="G54" s="5" t="s">
        <v>55</v>
      </c>
      <c r="H54" s="5" t="s">
        <v>25</v>
      </c>
      <c r="I54" s="5" t="s">
        <v>38</v>
      </c>
      <c r="J54" s="5" t="s">
        <v>27</v>
      </c>
      <c r="K54" s="6">
        <v>0.2933101851851852</v>
      </c>
      <c r="L54" s="6">
        <v>0.2933101851851852</v>
      </c>
      <c r="M54" s="6"/>
      <c r="N54" s="6">
        <v>0.2958912037037037</v>
      </c>
      <c r="O54" s="7">
        <f t="shared" si="1"/>
        <v>3.7166666666666348</v>
      </c>
      <c r="P54" s="5" t="s">
        <v>312</v>
      </c>
      <c r="Q54" s="5" t="s">
        <v>325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sqref="A1:C1"/>
    </sheetView>
  </sheetViews>
  <sheetFormatPr baseColWidth="10" defaultColWidth="9.109375" defaultRowHeight="14.4" x14ac:dyDescent="0.3"/>
  <cols>
    <col min="1" max="1" width="30" customWidth="1"/>
    <col min="2" max="3" width="15" customWidth="1"/>
  </cols>
  <sheetData>
    <row r="1" spans="1:3" ht="17.399999999999999" x14ac:dyDescent="0.35">
      <c r="A1" s="15" t="s">
        <v>273</v>
      </c>
      <c r="B1" s="13"/>
      <c r="C1" s="13"/>
    </row>
    <row r="3" spans="1:3" x14ac:dyDescent="0.3">
      <c r="A3" s="9" t="s">
        <v>274</v>
      </c>
      <c r="B3">
        <v>5495</v>
      </c>
    </row>
    <row r="4" spans="1:3" x14ac:dyDescent="0.3">
      <c r="A4" s="9" t="s">
        <v>275</v>
      </c>
      <c r="B4">
        <v>50</v>
      </c>
    </row>
    <row r="5" spans="1:3" x14ac:dyDescent="0.3">
      <c r="A5" s="9" t="s">
        <v>276</v>
      </c>
      <c r="B5" t="s">
        <v>277</v>
      </c>
    </row>
    <row r="7" spans="1:3" x14ac:dyDescent="0.3">
      <c r="A7" s="9" t="s">
        <v>278</v>
      </c>
    </row>
    <row r="8" spans="1:3" x14ac:dyDescent="0.3">
      <c r="A8" s="10" t="s">
        <v>279</v>
      </c>
      <c r="B8" s="10" t="s">
        <v>280</v>
      </c>
      <c r="C8" s="10" t="s">
        <v>281</v>
      </c>
    </row>
    <row r="9" spans="1:3" x14ac:dyDescent="0.3">
      <c r="A9" t="s">
        <v>282</v>
      </c>
      <c r="B9">
        <v>334</v>
      </c>
      <c r="C9">
        <v>4</v>
      </c>
    </row>
    <row r="10" spans="1:3" x14ac:dyDescent="0.3">
      <c r="A10" t="s">
        <v>283</v>
      </c>
      <c r="B10">
        <v>308</v>
      </c>
      <c r="C10">
        <v>5</v>
      </c>
    </row>
    <row r="11" spans="1:3" x14ac:dyDescent="0.3">
      <c r="A11" t="s">
        <v>284</v>
      </c>
      <c r="B11">
        <v>411</v>
      </c>
      <c r="C11">
        <v>4</v>
      </c>
    </row>
    <row r="12" spans="1:3" x14ac:dyDescent="0.3">
      <c r="A12" t="s">
        <v>285</v>
      </c>
      <c r="B12">
        <v>473</v>
      </c>
      <c r="C12">
        <v>4</v>
      </c>
    </row>
    <row r="13" spans="1:3" x14ac:dyDescent="0.3">
      <c r="A13" t="s">
        <v>286</v>
      </c>
      <c r="B13">
        <v>482</v>
      </c>
      <c r="C13">
        <v>4</v>
      </c>
    </row>
    <row r="14" spans="1:3" x14ac:dyDescent="0.3">
      <c r="A14" t="s">
        <v>287</v>
      </c>
      <c r="B14">
        <v>490</v>
      </c>
      <c r="C14">
        <v>4</v>
      </c>
    </row>
    <row r="15" spans="1:3" x14ac:dyDescent="0.3">
      <c r="A15" t="s">
        <v>288</v>
      </c>
      <c r="B15">
        <v>467</v>
      </c>
      <c r="C15">
        <v>5</v>
      </c>
    </row>
    <row r="16" spans="1:3" x14ac:dyDescent="0.3">
      <c r="A16" t="s">
        <v>289</v>
      </c>
      <c r="B16">
        <v>520</v>
      </c>
      <c r="C16">
        <v>4</v>
      </c>
    </row>
    <row r="17" spans="1:3" x14ac:dyDescent="0.3">
      <c r="A17" t="s">
        <v>290</v>
      </c>
      <c r="B17">
        <v>545</v>
      </c>
      <c r="C17">
        <v>4</v>
      </c>
    </row>
    <row r="18" spans="1:3" x14ac:dyDescent="0.3">
      <c r="A18" t="s">
        <v>291</v>
      </c>
      <c r="B18">
        <v>520</v>
      </c>
      <c r="C18">
        <v>4</v>
      </c>
    </row>
    <row r="19" spans="1:3" x14ac:dyDescent="0.3">
      <c r="A19" t="s">
        <v>292</v>
      </c>
      <c r="B19">
        <v>493</v>
      </c>
      <c r="C19">
        <v>4</v>
      </c>
    </row>
    <row r="20" spans="1:3" x14ac:dyDescent="0.3">
      <c r="A20" t="s">
        <v>293</v>
      </c>
      <c r="B20">
        <v>452</v>
      </c>
      <c r="C20">
        <v>4</v>
      </c>
    </row>
    <row r="22" spans="1:3" x14ac:dyDescent="0.3">
      <c r="A22" s="9" t="s">
        <v>294</v>
      </c>
    </row>
    <row r="23" spans="1:3" x14ac:dyDescent="0.3">
      <c r="A23" t="s">
        <v>295</v>
      </c>
    </row>
    <row r="24" spans="1:3" x14ac:dyDescent="0.3">
      <c r="A24" t="s">
        <v>296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workbookViewId="0">
      <selection activeCell="A20" sqref="A20:XFD20"/>
    </sheetView>
  </sheetViews>
  <sheetFormatPr baseColWidth="10" defaultColWidth="9.109375" defaultRowHeight="14.4" x14ac:dyDescent="0.3"/>
  <cols>
    <col min="1" max="1" width="110" customWidth="1"/>
  </cols>
  <sheetData>
    <row r="1" spans="1:1" ht="17.399999999999999" x14ac:dyDescent="0.35">
      <c r="A1" s="8" t="s">
        <v>297</v>
      </c>
    </row>
    <row r="2" spans="1:1" ht="15" customHeight="1" x14ac:dyDescent="0.3">
      <c r="A2" s="11"/>
    </row>
    <row r="3" spans="1:1" ht="15" customHeight="1" x14ac:dyDescent="0.3">
      <c r="A3" s="11" t="s">
        <v>298</v>
      </c>
    </row>
    <row r="4" spans="1:1" ht="27.6" x14ac:dyDescent="0.3">
      <c r="A4" s="11" t="s">
        <v>299</v>
      </c>
    </row>
    <row r="5" spans="1:1" ht="15" customHeight="1" x14ac:dyDescent="0.3">
      <c r="A5" s="11"/>
    </row>
    <row r="6" spans="1:1" ht="15" customHeight="1" x14ac:dyDescent="0.3">
      <c r="A6" s="11" t="s">
        <v>300</v>
      </c>
    </row>
    <row r="7" spans="1:1" ht="15" customHeight="1" x14ac:dyDescent="0.3">
      <c r="A7" s="11"/>
    </row>
    <row r="8" spans="1:1" ht="15" customHeight="1" x14ac:dyDescent="0.3">
      <c r="A8" s="11" t="s">
        <v>301</v>
      </c>
    </row>
    <row r="9" spans="1:1" ht="15" customHeight="1" x14ac:dyDescent="0.3">
      <c r="A9" s="11" t="s">
        <v>302</v>
      </c>
    </row>
    <row r="10" spans="1:1" ht="15" customHeight="1" x14ac:dyDescent="0.3">
      <c r="A10" s="11" t="s">
        <v>303</v>
      </c>
    </row>
    <row r="11" spans="1:1" ht="19.95" customHeight="1" x14ac:dyDescent="0.3">
      <c r="A11" s="11" t="s">
        <v>304</v>
      </c>
    </row>
    <row r="12" spans="1:1" ht="19.95" customHeight="1" x14ac:dyDescent="0.3">
      <c r="A12" s="11" t="s">
        <v>305</v>
      </c>
    </row>
    <row r="13" spans="1:1" ht="19.95" customHeight="1" x14ac:dyDescent="0.3">
      <c r="A13" s="11" t="s">
        <v>306</v>
      </c>
    </row>
    <row r="14" spans="1:1" ht="15" customHeight="1" x14ac:dyDescent="0.3">
      <c r="A14" s="11" t="s">
        <v>307</v>
      </c>
    </row>
    <row r="15" spans="1:1" ht="15" customHeight="1" x14ac:dyDescent="0.3">
      <c r="A15" s="11" t="s">
        <v>308</v>
      </c>
    </row>
    <row r="16" spans="1:1" ht="19.95" customHeight="1" x14ac:dyDescent="0.3">
      <c r="A16" s="11" t="s">
        <v>309</v>
      </c>
    </row>
    <row r="17" spans="1:1" ht="15" customHeight="1" x14ac:dyDescent="0.3">
      <c r="A17" s="11"/>
    </row>
    <row r="18" spans="1:1" ht="15" customHeight="1" x14ac:dyDescent="0.3">
      <c r="A18" s="11" t="s">
        <v>310</v>
      </c>
    </row>
    <row r="19" spans="1:1" ht="19.95" customHeight="1" x14ac:dyDescent="0.3">
      <c r="A19" s="11" t="s">
        <v>311</v>
      </c>
    </row>
    <row r="20" spans="1:1" ht="19.95" customHeight="1" x14ac:dyDescent="0.3">
      <c r="A20" s="11"/>
    </row>
    <row r="21" spans="1:1" ht="15" customHeight="1" x14ac:dyDescent="0.3">
      <c r="A21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L-aba dybdeanalyse</vt:lpstr>
      <vt:lpstr>Oppsummering</vt:lpstr>
      <vt:lpstr>Instruksjon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Yngve Vold Muller</cp:lastModifiedBy>
  <dcterms:created xsi:type="dcterms:W3CDTF">2026-04-18T08:31:01Z</dcterms:created>
  <dcterms:modified xsi:type="dcterms:W3CDTF">2026-04-18T16:11:56Z</dcterms:modified>
</cp:coreProperties>
</file>